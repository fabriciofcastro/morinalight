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de Ordem de Compra" sheetId="1" r:id="rId4"/>
    <sheet state="visible" name="Compra de insumos" sheetId="2" r:id="rId5"/>
    <sheet state="visible" name="Cadastro Fornecedores" sheetId="3" r:id="rId6"/>
    <sheet state="visible" name="Controle de Arquivos" sheetId="4" r:id="rId7"/>
    <sheet state="visible" name="Catálogo Insumos" sheetId="5" r:id="rId8"/>
  </sheets>
  <definedNames>
    <definedName hidden="1" localSheetId="3" name="Z_96C30395_4AF1_439B_903E_48604C25C9CF_.wvu.FilterData">'Controle de Arquivos'!$A$1:$F$3</definedName>
  </definedNames>
  <calcPr/>
  <customWorkbookViews>
    <customWorkbookView activeSheetId="0" maximized="1" windowHeight="0" windowWidth="0" guid="{96C30395-4AF1-439B-903E-48604C25C9CF}" name="Filtro 1"/>
  </customWorkbookViews>
</workbook>
</file>

<file path=xl/sharedStrings.xml><?xml version="1.0" encoding="utf-8"?>
<sst xmlns="http://schemas.openxmlformats.org/spreadsheetml/2006/main" count="161" uniqueCount="120">
  <si>
    <t>🧾 FICHA DE COMPRA  AVIAMENTOS</t>
  </si>
  <si>
    <t>IMAGEM REFERÊNCIA</t>
  </si>
  <si>
    <r>
      <rPr>
        <rFont val="Calibri"/>
        <b/>
        <color theme="1"/>
        <sz val="12.0"/>
      </rPr>
      <t>🗃️</t>
    </r>
    <r>
      <rPr>
        <rFont val="Calibri"/>
        <b/>
        <color theme="1"/>
        <sz val="13.0"/>
      </rPr>
      <t xml:space="preserve"> Código da Ficha:</t>
    </r>
  </si>
  <si>
    <r>
      <rPr>
        <rFont val="Calibri"/>
        <b/>
        <color theme="1"/>
        <sz val="12.0"/>
      </rPr>
      <t>✂️</t>
    </r>
    <r>
      <rPr>
        <rFont val="Calibri"/>
        <b/>
        <color theme="1"/>
        <sz val="13.0"/>
      </rPr>
      <t xml:space="preserve"> Nº do Corte:</t>
    </r>
  </si>
  <si>
    <t>☀️  Coleção:  🌨️</t>
  </si>
  <si>
    <r>
      <rPr>
        <rFont val="Calibri"/>
        <b/>
        <color theme="1"/>
        <sz val="14.0"/>
      </rPr>
      <t>🪪</t>
    </r>
    <r>
      <rPr>
        <rFont val="Calibri"/>
        <b/>
        <color theme="1"/>
        <sz val="13.0"/>
      </rPr>
      <t xml:space="preserve"> Referência</t>
    </r>
  </si>
  <si>
    <r>
      <rPr>
        <rFont val="Calibri"/>
        <b/>
        <color theme="1"/>
        <sz val="12.0"/>
      </rPr>
      <t>🚩</t>
    </r>
    <r>
      <rPr>
        <rFont val="Calibri"/>
        <b/>
        <color theme="1"/>
        <sz val="13.0"/>
      </rPr>
      <t xml:space="preserve"> Status:</t>
    </r>
  </si>
  <si>
    <r>
      <rPr>
        <rFont val="Calibri"/>
        <b/>
        <color theme="1"/>
        <sz val="14.0"/>
      </rPr>
      <t xml:space="preserve">📅 </t>
    </r>
    <r>
      <rPr>
        <rFont val="Calibri"/>
        <b/>
        <color theme="1"/>
        <sz val="13.0"/>
      </rPr>
      <t>Data do Corte:</t>
    </r>
  </si>
  <si>
    <t xml:space="preserve">  📆 Data da Liberação</t>
  </si>
  <si>
    <t>STATUS</t>
  </si>
  <si>
    <t>Verão</t>
  </si>
  <si>
    <t>Revisando</t>
  </si>
  <si>
    <t>Descrição da peça</t>
  </si>
  <si>
    <t>🚚 Fornecedor</t>
  </si>
  <si>
    <t xml:space="preserve"> 🦺 N° Nota Fisica</t>
  </si>
  <si>
    <r>
      <rPr>
        <rFont val="Calibri"/>
        <b/>
        <color theme="1"/>
        <sz val="12.0"/>
      </rPr>
      <t>💲</t>
    </r>
    <r>
      <rPr>
        <rFont val="Calibri"/>
        <b/>
        <color theme="1"/>
        <sz val="13.0"/>
      </rPr>
      <t xml:space="preserve"> Forma de Pg</t>
    </r>
  </si>
  <si>
    <t>🟰 Quantidade de Peças</t>
  </si>
  <si>
    <r>
      <rPr>
        <rFont val="Arial"/>
        <b/>
        <color rgb="FFFFFFFF"/>
        <sz val="14.0"/>
      </rPr>
      <t>📦</t>
    </r>
    <r>
      <rPr>
        <rFont val="Arial"/>
        <b/>
        <color rgb="FFFFFFFF"/>
        <sz val="12.0"/>
      </rPr>
      <t xml:space="preserve"> INSUMOS E AVIAMENTOS </t>
    </r>
  </si>
  <si>
    <t>Item</t>
  </si>
  <si>
    <t>Descrição</t>
  </si>
  <si>
    <t>Unidade</t>
  </si>
  <si>
    <t>Qtd Orig.</t>
  </si>
  <si>
    <t>Qtd Conv.</t>
  </si>
  <si>
    <t>Valor Unit.</t>
  </si>
  <si>
    <t>Desc. %</t>
  </si>
  <si>
    <t>Valor Desc</t>
  </si>
  <si>
    <t>Valor Bruto</t>
  </si>
  <si>
    <t>FRANJA MACRAME 15CM(30YD)</t>
  </si>
  <si>
    <t>Jardas</t>
  </si>
  <si>
    <t>ZIPR INVISIVEL 20 CM</t>
  </si>
  <si>
    <t>Grosa</t>
  </si>
  <si>
    <t>Unidades</t>
  </si>
  <si>
    <r>
      <rPr>
        <rFont val="Calibri"/>
        <b/>
        <color rgb="FFFFFFFF"/>
        <sz val="13.0"/>
      </rPr>
      <t>⚠️</t>
    </r>
    <r>
      <rPr>
        <rFont val="Calibri"/>
        <b/>
        <color rgb="FFFFFFFF"/>
        <sz val="14.0"/>
      </rPr>
      <t xml:space="preserve"> </t>
    </r>
    <r>
      <rPr>
        <rFont val="Calibri"/>
        <b/>
        <color rgb="FFFFFFFF"/>
        <sz val="13.0"/>
      </rPr>
      <t>PREENCHER SOMENTE QUANDO FOR ACRESCENTAR OU FAZER CORREÇÃO</t>
    </r>
  </si>
  <si>
    <t>OBSERVAÇÕES PONTUAIS</t>
  </si>
  <si>
    <t xml:space="preserve">TOTAL DA FICHA: </t>
  </si>
  <si>
    <t xml:space="preserve">💰 Economia  </t>
  </si>
  <si>
    <t xml:space="preserve">CUSTO POR PEÇA + 15% DE PERDA </t>
  </si>
  <si>
    <t>OBSERVAÇÕES GERAIS</t>
  </si>
  <si>
    <t>🧾 ORDEM DE RECEBIMENTO DE AVIAMENTO E TECIDOS</t>
  </si>
  <si>
    <t>Data  Pedido</t>
  </si>
  <si>
    <t>Solicitante</t>
  </si>
  <si>
    <t>Referência/Piloto</t>
  </si>
  <si>
    <t>Fornecedor</t>
  </si>
  <si>
    <t>Quatidade</t>
  </si>
  <si>
    <t>Total</t>
  </si>
  <si>
    <t>VOLUMES</t>
  </si>
  <si>
    <t>NF</t>
  </si>
  <si>
    <t>Recebido por</t>
  </si>
  <si>
    <t>Data Recebimento</t>
  </si>
  <si>
    <t>Adriana</t>
  </si>
  <si>
    <t>55225/55158/55001</t>
  </si>
  <si>
    <t>Tecidos &amp; Botões Comercial</t>
  </si>
  <si>
    <t>Zíper Nylon 50cm - Preto</t>
  </si>
  <si>
    <t>Cancelado</t>
  </si>
  <si>
    <t>Sim</t>
  </si>
  <si>
    <t>Michel</t>
  </si>
  <si>
    <t>Não</t>
  </si>
  <si>
    <t>kilos</t>
  </si>
  <si>
    <t>👥 CADASTRO DE FORNECEDORES</t>
  </si>
  <si>
    <t>⚠️ INSTRUÇÕES: Cadastre seus fornecedores aqui. Eles aparecerão automaticamente na ficha principal.</t>
  </si>
  <si>
    <t>ID</t>
  </si>
  <si>
    <t>Nome do Fornecedor</t>
  </si>
  <si>
    <t>CNPJ</t>
  </si>
  <si>
    <t>Contato</t>
  </si>
  <si>
    <t>Telefone</t>
  </si>
  <si>
    <t>E-mail</t>
  </si>
  <si>
    <t>Prazo Entrega (dias)</t>
  </si>
  <si>
    <t>Forma Pagamento</t>
  </si>
  <si>
    <t>Aviamentos Silva Ltda</t>
  </si>
  <si>
    <t>Distribuidora Zíperes Master</t>
  </si>
  <si>
    <t>Linha &amp; Arte Fornecedora</t>
  </si>
  <si>
    <t>Central de Etiquetas SP</t>
  </si>
  <si>
    <t>Data</t>
  </si>
  <si>
    <t>Referência</t>
  </si>
  <si>
    <t>Caminho</t>
  </si>
  <si>
    <t>Nome do Arquivo</t>
  </si>
  <si>
    <t>Link</t>
  </si>
  <si>
    <t>Status</t>
  </si>
  <si>
    <t>Aprovado</t>
  </si>
  <si>
    <t>Aprovado - 2025-10-24</t>
  </si>
  <si>
    <t>Em revisão</t>
  </si>
  <si>
    <t>📦 CATÁLOGO DE INSUMOS</t>
  </si>
  <si>
    <t>⚠️ INSTRUÇÕES: Cadastre os insumos mais usados. O sistema buscará preços automaticamente na ficha.</t>
  </si>
  <si>
    <t>Código</t>
  </si>
  <si>
    <t>Descrição do Insumo</t>
  </si>
  <si>
    <t>Unidade Padrão</t>
  </si>
  <si>
    <t>Fornecedor Habitual</t>
  </si>
  <si>
    <t>Último Preço (R$)</t>
  </si>
  <si>
    <t>Categoria</t>
  </si>
  <si>
    <t>BOT-001</t>
  </si>
  <si>
    <t>Botão Plástico 4 furos 12mm - Branco</t>
  </si>
  <si>
    <t>01/10/2025</t>
  </si>
  <si>
    <t>Botões</t>
  </si>
  <si>
    <t>BOT-002</t>
  </si>
  <si>
    <t>Botão Metálico Jeans 15mm - Prata</t>
  </si>
  <si>
    <t>05/10/2025</t>
  </si>
  <si>
    <t>ZIP-001</t>
  </si>
  <si>
    <t>08/10/2025</t>
  </si>
  <si>
    <t>Zíperes</t>
  </si>
  <si>
    <t>ZIP-002</t>
  </si>
  <si>
    <t>Zíper Invisível 60cm - Colorido</t>
  </si>
  <si>
    <t>LIN-001</t>
  </si>
  <si>
    <t>Linha Poliéster 120 - Branco</t>
  </si>
  <si>
    <t>10/10/2025</t>
  </si>
  <si>
    <t>Linhas</t>
  </si>
  <si>
    <t>LIN-002</t>
  </si>
  <si>
    <t>Linha Poliéster 120 - Preto</t>
  </si>
  <si>
    <t>ETI-001</t>
  </si>
  <si>
    <t>Etiqueta Composição - Modelo A</t>
  </si>
  <si>
    <t>Milheiro</t>
  </si>
  <si>
    <t>12/10/2025</t>
  </si>
  <si>
    <t>Etiquetas</t>
  </si>
  <si>
    <t>ETI-002</t>
  </si>
  <si>
    <t>Etiqueta Tamanho PP/P/M/G/GG</t>
  </si>
  <si>
    <t>ELA-001</t>
  </si>
  <si>
    <t>Elástico 10mm - Branco</t>
  </si>
  <si>
    <t>Metros</t>
  </si>
  <si>
    <t>Elásticos</t>
  </si>
  <si>
    <t>ELA-002</t>
  </si>
  <si>
    <t>Elástico 20mm - Preto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</si>
</sst>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[$R$ -416]#,##0.00"/>
    <numFmt numFmtId="166" formatCode="&quot;R$ &quot;#,##0.00"/>
    <numFmt numFmtId="167" formatCode="0.00\%"/>
    <numFmt numFmtId="168" formatCode="d/m/yyyy"/>
    <numFmt numFmtId="169" formatCode="yyyy-mm-dd"/>
    <numFmt numFmtId="170" formatCode="yyyy/m"/>
  </numFmts>
  <fonts count="2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2.0"/>
      <color theme="1"/>
      <name val="Calibri"/>
    </font>
    <font>
      <b/>
      <sz val="13.0"/>
      <color theme="1"/>
      <name val="Calibri"/>
    </font>
    <font>
      <b/>
      <sz val="14.0"/>
      <color theme="1"/>
      <name val="Calibri"/>
    </font>
    <font>
      <sz val="13.0"/>
      <color theme="1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b/>
      <sz val="13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3.0"/>
      <color rgb="FFFFFFFF"/>
      <name val="Calibri"/>
    </font>
    <font>
      <b/>
      <sz val="12.0"/>
      <color rgb="FF059669"/>
      <name val="Calibri"/>
    </font>
    <font>
      <b/>
      <i/>
      <sz val="11.0"/>
      <color theme="1"/>
      <name val="Calibri"/>
    </font>
    <font>
      <b/>
      <i/>
      <sz val="14.0"/>
      <color rgb="FFFF9900"/>
      <name val="Calibri"/>
    </font>
    <font>
      <color theme="1"/>
      <name val="Calibri"/>
    </font>
    <font>
      <b/>
      <sz val="16.0"/>
      <color rgb="FFFFFFFF"/>
      <name val="Arial"/>
    </font>
    <font>
      <b/>
      <sz val="11.0"/>
      <color rgb="FFFFFFFF"/>
      <name val="Calibri"/>
    </font>
    <font>
      <b/>
      <sz val="14.0"/>
      <color rgb="FFFFFFFF"/>
      <name val="Calibri"/>
    </font>
    <font>
      <u/>
      <color rgb="FF0000FF"/>
    </font>
  </fonts>
  <fills count="18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DCFCE7"/>
        <bgColor rgb="FFDCFCE7"/>
      </patternFill>
    </fill>
    <fill>
      <patternFill patternType="solid">
        <fgColor rgb="FFFDE68A"/>
        <bgColor rgb="FFFDE68A"/>
      </patternFill>
    </fill>
    <fill>
      <patternFill patternType="solid">
        <fgColor rgb="FFFFFFFF"/>
        <bgColor rgb="FFFFFFFF"/>
      </patternFill>
    </fill>
    <fill>
      <patternFill patternType="solid">
        <fgColor rgb="FFF0FDF4"/>
        <bgColor rgb="FFF0FDF4"/>
      </patternFill>
    </fill>
    <fill>
      <patternFill patternType="solid">
        <fgColor rgb="FFEFF6FF"/>
        <bgColor rgb="FFEFF6FF"/>
      </patternFill>
    </fill>
    <fill>
      <patternFill patternType="solid">
        <fgColor rgb="FF059669"/>
        <bgColor rgb="FF059669"/>
      </patternFill>
    </fill>
    <fill>
      <patternFill patternType="solid">
        <fgColor rgb="FF1E40AF"/>
        <bgColor rgb="FF1E40AF"/>
      </patternFill>
    </fill>
    <fill>
      <patternFill patternType="solid">
        <fgColor rgb="FFDBEAFE"/>
        <bgColor rgb="FFDBEAFE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F3F4F6"/>
        <bgColor rgb="FFF3F4F6"/>
      </patternFill>
    </fill>
    <fill>
      <patternFill patternType="solid">
        <fgColor rgb="FF93C47D"/>
        <bgColor rgb="FF93C47D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  <fill>
      <patternFill patternType="solid">
        <fgColor rgb="FF047857"/>
        <bgColor rgb="FF047857"/>
      </patternFill>
    </fill>
  </fills>
  <borders count="4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right/>
      <top style="thin">
        <color rgb="FFD1D5DB"/>
      </top>
      <bottom style="thin">
        <color rgb="FFD1D5DB"/>
      </bottom>
    </border>
    <border>
      <left/>
      <right/>
      <top/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D1D5DB"/>
      </left>
      <right/>
      <bottom style="thin">
        <color rgb="FFD1D5DB"/>
      </bottom>
    </border>
    <border>
      <left/>
      <right/>
      <bottom/>
    </border>
    <border>
      <left style="thin">
        <color rgb="FF9CA3AF"/>
      </left>
      <bottom style="thin">
        <color rgb="FF9CA3AF"/>
      </bottom>
    </border>
    <border>
      <bottom style="thin">
        <color rgb="FF9CA3AF"/>
      </bottom>
    </border>
    <border>
      <right style="thin">
        <color rgb="FF9CA3AF"/>
      </right>
      <bottom style="thin">
        <color rgb="FF9CA3AF"/>
      </bottom>
    </border>
    <border>
      <left/>
      <bottom/>
    </border>
    <border>
      <bottom/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</border>
    <border>
      <top/>
    </border>
    <border>
      <left/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1D5DB"/>
      </left>
      <right style="thin">
        <color rgb="FFD1D5DB"/>
      </right>
      <top/>
      <bottom style="thin">
        <color rgb="FFD1D5DB"/>
      </bottom>
    </border>
    <border>
      <left style="thin">
        <color rgb="FFD1D5DB"/>
      </left>
      <right/>
      <top/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/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2" fillId="2" fontId="3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4" fillId="3" fontId="4" numFmtId="0" xfId="0" applyAlignment="1" applyBorder="1" applyFill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5" fillId="0" fontId="8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9" numFmtId="0" xfId="0" applyAlignment="1" applyBorder="1" applyFill="1" applyFont="1">
      <alignment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0" fontId="9" numFmtId="164" xfId="0" applyAlignment="1" applyBorder="1" applyFont="1" applyNumberFormat="1">
      <alignment horizontal="center" shrinkToFit="0" vertical="center" wrapText="0"/>
    </xf>
    <xf borderId="1" fillId="0" fontId="9" numFmtId="164" xfId="0" applyAlignment="1" applyBorder="1" applyFont="1" applyNumberFormat="1">
      <alignment horizontal="center" shrinkToFit="0" vertical="center" wrapText="0"/>
    </xf>
    <xf borderId="4" fillId="5" fontId="9" numFmtId="165" xfId="0" applyAlignment="1" applyBorder="1" applyFill="1" applyFont="1" applyNumberFormat="1">
      <alignment horizontal="center" shrinkToFit="0" vertical="center" wrapText="0"/>
    </xf>
    <xf borderId="8" fillId="0" fontId="2" numFmtId="0" xfId="0" applyBorder="1" applyFont="1"/>
    <xf borderId="9" fillId="0" fontId="2" numFmtId="0" xfId="0" applyBorder="1" applyFont="1"/>
    <xf borderId="4" fillId="3" fontId="5" numFmtId="0" xfId="0" applyAlignment="1" applyBorder="1" applyFont="1">
      <alignment shrinkToFit="0" vertical="center" wrapText="0"/>
    </xf>
    <xf borderId="1" fillId="6" fontId="9" numFmtId="0" xfId="0" applyAlignment="1" applyBorder="1" applyFill="1" applyFont="1">
      <alignment shrinkToFit="0" vertical="center" wrapText="0"/>
    </xf>
    <xf borderId="1" fillId="0" fontId="10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shrinkToFit="0" vertical="bottom" wrapText="0"/>
    </xf>
    <xf borderId="1" fillId="7" fontId="5" numFmtId="0" xfId="0" applyAlignment="1" applyBorder="1" applyFill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0" fillId="8" fontId="1" numFmtId="0" xfId="0" applyAlignment="1" applyBorder="1" applyFill="1" applyFont="1">
      <alignment horizontal="center" shrinkToFit="0" vertical="center" wrapText="0"/>
    </xf>
    <xf borderId="11" fillId="0" fontId="2" numFmtId="0" xfId="0" applyBorder="1" applyFont="1"/>
    <xf borderId="4" fillId="9" fontId="8" numFmtId="0" xfId="0" applyAlignment="1" applyBorder="1" applyFill="1" applyFont="1">
      <alignment horizontal="center" shrinkToFit="0" vertical="center" wrapText="1"/>
    </xf>
    <xf borderId="12" fillId="9" fontId="8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11" numFmtId="0" xfId="0" applyAlignment="1" applyBorder="1" applyFont="1">
      <alignment horizontal="center" shrinkToFit="0" vertical="bottom" wrapText="0"/>
    </xf>
    <xf borderId="16" fillId="0" fontId="11" numFmtId="0" xfId="0" applyAlignment="1" applyBorder="1" applyFont="1">
      <alignment shrinkToFit="0" vertical="bottom" wrapText="0"/>
    </xf>
    <xf borderId="16" fillId="0" fontId="9" numFmtId="4" xfId="0" applyAlignment="1" applyBorder="1" applyFont="1" applyNumberFormat="1">
      <alignment horizontal="center" shrinkToFit="0" vertical="bottom" wrapText="0"/>
    </xf>
    <xf borderId="16" fillId="10" fontId="11" numFmtId="4" xfId="0" applyAlignment="1" applyBorder="1" applyFill="1" applyFont="1" applyNumberFormat="1">
      <alignment horizontal="center" shrinkToFit="0" vertical="bottom" wrapText="0"/>
    </xf>
    <xf borderId="17" fillId="0" fontId="11" numFmtId="166" xfId="0" applyAlignment="1" applyBorder="1" applyFont="1" applyNumberFormat="1">
      <alignment shrinkToFit="0" vertical="bottom" wrapText="0"/>
    </xf>
    <xf borderId="16" fillId="0" fontId="11" numFmtId="167" xfId="0" applyAlignment="1" applyBorder="1" applyFont="1" applyNumberFormat="1">
      <alignment shrinkToFit="0" vertical="bottom" wrapText="0"/>
    </xf>
    <xf borderId="18" fillId="3" fontId="9" numFmtId="166" xfId="0" applyAlignment="1" applyBorder="1" applyFont="1" applyNumberFormat="1">
      <alignment shrinkToFit="0" vertical="bottom" wrapText="0"/>
    </xf>
    <xf borderId="19" fillId="11" fontId="12" numFmtId="165" xfId="0" applyAlignment="1" applyBorder="1" applyFill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1" numFmtId="165" xfId="0" applyAlignment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20" fillId="12" fontId="13" numFmtId="0" xfId="0" applyAlignment="1" applyBorder="1" applyFill="1" applyFont="1">
      <alignment horizontal="center" shrinkToFit="0" vertical="center" wrapText="0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7" fillId="0" fontId="11" numFmtId="0" xfId="0" applyAlignment="1" applyBorder="1" applyFont="1">
      <alignment horizontal="center" shrinkToFit="0" vertical="bottom" wrapText="0"/>
    </xf>
    <xf borderId="17" fillId="0" fontId="11" numFmtId="0" xfId="0" applyAlignment="1" applyBorder="1" applyFont="1">
      <alignment shrinkToFit="0" vertical="bottom" wrapText="0"/>
    </xf>
    <xf borderId="17" fillId="0" fontId="9" numFmtId="4" xfId="0" applyAlignment="1" applyBorder="1" applyFont="1" applyNumberFormat="1">
      <alignment horizontal="center" shrinkToFit="0" vertical="bottom" wrapText="0"/>
    </xf>
    <xf borderId="17" fillId="10" fontId="11" numFmtId="4" xfId="0" applyAlignment="1" applyBorder="1" applyFont="1" applyNumberFormat="1">
      <alignment horizontal="center" shrinkToFit="0" vertical="bottom" wrapText="0"/>
    </xf>
    <xf borderId="17" fillId="0" fontId="11" numFmtId="167" xfId="0" applyAlignment="1" applyBorder="1" applyFont="1" applyNumberFormat="1">
      <alignment shrinkToFit="0" vertical="bottom" wrapText="0"/>
    </xf>
    <xf borderId="26" fillId="3" fontId="9" numFmtId="166" xfId="0" applyAlignment="1" applyBorder="1" applyFont="1" applyNumberFormat="1">
      <alignment shrinkToFit="0" vertical="bottom" wrapText="0"/>
    </xf>
    <xf borderId="27" fillId="11" fontId="12" numFmtId="165" xfId="0" applyAlignment="1" applyBorder="1" applyFont="1" applyNumberFormat="1">
      <alignment horizontal="center" shrinkToFit="0" vertical="center" wrapText="1"/>
    </xf>
    <xf borderId="28" fillId="0" fontId="11" numFmtId="0" xfId="0" applyAlignment="1" applyBorder="1" applyFont="1">
      <alignment shrinkToFit="0" vertical="top" wrapText="1"/>
    </xf>
    <xf borderId="29" fillId="0" fontId="2" numFmtId="0" xfId="0" applyBorder="1" applyFont="1"/>
    <xf borderId="30" fillId="0" fontId="2" numFmtId="0" xfId="0" applyBorder="1" applyFont="1"/>
    <xf borderId="31" fillId="13" fontId="4" numFmtId="0" xfId="0" applyAlignment="1" applyBorder="1" applyFill="1" applyFont="1">
      <alignment horizontal="right" shrinkToFit="0" vertical="center" wrapText="0"/>
    </xf>
    <xf borderId="32" fillId="0" fontId="2" numFmtId="0" xfId="0" applyBorder="1" applyFont="1"/>
    <xf borderId="33" fillId="3" fontId="14" numFmtId="166" xfId="0" applyAlignment="1" applyBorder="1" applyFont="1" applyNumberFormat="1">
      <alignment horizontal="center" shrinkToFit="0" vertical="center" wrapText="0"/>
    </xf>
    <xf borderId="33" fillId="0" fontId="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horizontal="right" shrinkToFit="0" vertical="center" wrapText="0"/>
    </xf>
    <xf borderId="34" fillId="6" fontId="16" numFmtId="165" xfId="0" applyAlignment="1" applyBorder="1" applyFont="1" applyNumberFormat="1">
      <alignment horizontal="center" shrinkToFit="0" vertical="center" wrapText="0"/>
    </xf>
    <xf borderId="35" fillId="0" fontId="2" numFmtId="0" xfId="0" applyBorder="1" applyFont="1"/>
    <xf borderId="36" fillId="10" fontId="5" numFmtId="0" xfId="0" applyAlignment="1" applyBorder="1" applyFont="1">
      <alignment horizontal="right" shrinkToFit="0" vertical="center" wrapText="0"/>
    </xf>
    <xf borderId="37" fillId="0" fontId="2" numFmtId="0" xfId="0" applyBorder="1" applyFont="1"/>
    <xf borderId="20" fillId="10" fontId="6" numFmtId="165" xfId="0" applyAlignment="1" applyBorder="1" applyFont="1" applyNumberFormat="1">
      <alignment horizontal="center" shrinkToFit="0" vertical="center" wrapText="0"/>
    </xf>
    <xf borderId="38" fillId="0" fontId="2" numFmtId="0" xfId="0" applyBorder="1" applyFont="1"/>
    <xf borderId="34" fillId="9" fontId="8" numFmtId="0" xfId="0" applyAlignment="1" applyBorder="1" applyFont="1">
      <alignment horizontal="center" shrinkToFit="0" vertical="center" wrapText="1"/>
    </xf>
    <xf borderId="39" fillId="0" fontId="2" numFmtId="0" xfId="0" applyBorder="1" applyFont="1"/>
    <xf borderId="20" fillId="0" fontId="17" numFmtId="0" xfId="0" applyBorder="1" applyFont="1"/>
    <xf borderId="40" fillId="0" fontId="2" numFmtId="0" xfId="0" applyBorder="1" applyFont="1"/>
    <xf borderId="41" fillId="0" fontId="2" numFmtId="0" xfId="0" applyBorder="1" applyFont="1"/>
    <xf borderId="19" fillId="2" fontId="18" numFmtId="0" xfId="0" applyAlignment="1" applyBorder="1" applyFont="1">
      <alignment horizontal="center" shrinkToFit="0" vertical="center" wrapText="0"/>
    </xf>
    <xf borderId="10" fillId="2" fontId="18" numFmtId="0" xfId="0" applyAlignment="1" applyBorder="1" applyFont="1">
      <alignment horizontal="center" shrinkToFit="0" vertical="center" wrapText="0"/>
    </xf>
    <xf borderId="42" fillId="9" fontId="8" numFmtId="0" xfId="0" applyAlignment="1" applyBorder="1" applyFont="1">
      <alignment horizontal="center" shrinkToFit="0" vertical="center" wrapText="1"/>
    </xf>
    <xf borderId="4" fillId="14" fontId="8" numFmtId="0" xfId="0" applyAlignment="1" applyBorder="1" applyFill="1" applyFont="1">
      <alignment horizontal="center" shrinkToFit="0" vertical="center" wrapText="1"/>
    </xf>
    <xf borderId="19" fillId="13" fontId="11" numFmtId="168" xfId="0" applyAlignment="1" applyBorder="1" applyFont="1" applyNumberFormat="1">
      <alignment horizontal="center" shrinkToFit="0" vertical="bottom" wrapText="0"/>
    </xf>
    <xf borderId="19" fillId="13" fontId="11" numFmtId="0" xfId="0" applyAlignment="1" applyBorder="1" applyFont="1">
      <alignment horizontal="center" shrinkToFit="0" vertical="bottom" wrapText="0"/>
    </xf>
    <xf borderId="43" fillId="13" fontId="11" numFmtId="0" xfId="0" applyAlignment="1" applyBorder="1" applyFont="1">
      <alignment horizontal="center" shrinkToFit="0" vertical="bottom" wrapText="0"/>
    </xf>
    <xf borderId="44" fillId="7" fontId="11" numFmtId="0" xfId="0" applyAlignment="1" applyBorder="1" applyFont="1">
      <alignment horizontal="left" shrinkToFit="0" vertical="center" wrapText="0"/>
    </xf>
    <xf borderId="43" fillId="7" fontId="11" numFmtId="0" xfId="0" applyAlignment="1" applyBorder="1" applyFont="1">
      <alignment shrinkToFit="0" vertical="bottom" wrapText="0"/>
    </xf>
    <xf borderId="17" fillId="0" fontId="11" numFmtId="4" xfId="0" applyAlignment="1" applyBorder="1" applyFont="1" applyNumberFormat="1">
      <alignment horizontal="center" shrinkToFit="0" vertical="center" wrapText="0"/>
    </xf>
    <xf borderId="17" fillId="0" fontId="11" numFmtId="167" xfId="0" applyAlignment="1" applyBorder="1" applyFont="1" applyNumberFormat="1">
      <alignment horizontal="center" shrinkToFit="0" vertical="center" wrapText="0"/>
    </xf>
    <xf borderId="43" fillId="15" fontId="11" numFmtId="166" xfId="0" applyAlignment="1" applyBorder="1" applyFill="1" applyFont="1" applyNumberFormat="1">
      <alignment shrinkToFit="0" vertical="bottom" wrapText="0"/>
    </xf>
    <xf borderId="44" fillId="3" fontId="9" numFmtId="166" xfId="0" applyAlignment="1" applyBorder="1" applyFont="1" applyNumberForma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right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11" numFmtId="168" xfId="0" applyAlignment="1" applyFont="1" applyNumberFormat="1">
      <alignment shrinkToFit="0" vertical="bottom" wrapText="0"/>
    </xf>
    <xf borderId="16" fillId="13" fontId="11" numFmtId="0" xfId="0" applyAlignment="1" applyBorder="1" applyFont="1">
      <alignment horizontal="center" shrinkToFit="0" vertical="bottom" wrapText="0"/>
    </xf>
    <xf borderId="16" fillId="7" fontId="11" numFmtId="0" xfId="0" applyAlignment="1" applyBorder="1" applyFont="1">
      <alignment shrinkToFit="0" vertical="bottom" wrapText="0"/>
    </xf>
    <xf borderId="16" fillId="0" fontId="11" numFmtId="4" xfId="0" applyAlignment="1" applyBorder="1" applyFont="1" applyNumberFormat="1">
      <alignment horizontal="center" shrinkToFit="0" vertical="center" wrapText="0"/>
    </xf>
    <xf borderId="16" fillId="0" fontId="11" numFmtId="167" xfId="0" applyAlignment="1" applyBorder="1" applyFont="1" applyNumberFormat="1">
      <alignment horizontal="center" shrinkToFit="0" vertical="center" wrapText="0"/>
    </xf>
    <xf borderId="16" fillId="15" fontId="11" numFmtId="166" xfId="0" applyAlignment="1" applyBorder="1" applyFont="1" applyNumberForma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45" fillId="13" fontId="11" numFmtId="0" xfId="0" applyAlignment="1" applyBorder="1" applyFont="1">
      <alignment horizontal="center" shrinkToFit="0" vertical="bottom" wrapText="0"/>
    </xf>
    <xf borderId="45" fillId="7" fontId="11" numFmtId="0" xfId="0" applyAlignment="1" applyBorder="1" applyFont="1">
      <alignment shrinkToFit="0" vertical="bottom" wrapText="0"/>
    </xf>
    <xf borderId="46" fillId="0" fontId="11" numFmtId="4" xfId="0" applyAlignment="1" applyBorder="1" applyFont="1" applyNumberFormat="1">
      <alignment horizontal="center" shrinkToFit="0" vertical="center" wrapText="0"/>
    </xf>
    <xf borderId="45" fillId="15" fontId="11" numFmtId="166" xfId="0" applyAlignment="1" applyBorder="1" applyFont="1" applyNumberFormat="1">
      <alignment shrinkToFit="0" vertical="bottom" wrapText="0"/>
    </xf>
    <xf borderId="0" fillId="0" fontId="11" numFmtId="4" xfId="0" applyAlignment="1" applyFont="1" applyNumberFormat="1">
      <alignment horizontal="center" shrinkToFit="0" vertical="center" wrapText="0"/>
    </xf>
    <xf borderId="47" fillId="0" fontId="11" numFmtId="4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center" shrinkToFit="0" vertical="bottom" wrapText="0"/>
    </xf>
    <xf borderId="10" fillId="2" fontId="20" numFmtId="0" xfId="0" applyAlignment="1" applyBorder="1" applyFont="1">
      <alignment horizontal="center" shrinkToFit="0" vertical="center" wrapText="0"/>
    </xf>
    <xf borderId="10" fillId="15" fontId="15" numFmtId="0" xfId="0" applyAlignment="1" applyBorder="1" applyFont="1">
      <alignment horizontal="center" shrinkToFit="0" vertical="center" wrapText="1"/>
    </xf>
    <xf borderId="4" fillId="9" fontId="19" numFmtId="0" xfId="0" applyAlignment="1" applyBorder="1" applyFont="1">
      <alignment horizontal="center" shrinkToFit="0" vertical="center" wrapText="1"/>
    </xf>
    <xf borderId="16" fillId="16" fontId="11" numFmtId="0" xfId="0" applyAlignment="1" applyBorder="1" applyFill="1" applyFont="1">
      <alignment horizontal="center" shrinkToFit="0" vertical="bottom" wrapText="0"/>
    </xf>
    <xf borderId="0" fillId="10" fontId="20" numFmtId="0" xfId="0" applyAlignment="1" applyFont="1">
      <alignment horizontal="center" vertical="center"/>
    </xf>
    <xf borderId="0" fillId="0" fontId="17" numFmtId="169" xfId="0" applyAlignment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170" xfId="0" applyAlignment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10" fillId="8" fontId="20" numFmtId="0" xfId="0" applyAlignment="1" applyBorder="1" applyFont="1">
      <alignment horizontal="center" shrinkToFit="0" vertical="center" wrapText="0"/>
    </xf>
    <xf borderId="4" fillId="17" fontId="19" numFmtId="0" xfId="0" applyAlignment="1" applyBorder="1" applyFill="1" applyFont="1">
      <alignment horizontal="center" shrinkToFit="0" vertical="center" wrapText="1"/>
    </xf>
    <xf borderId="16" fillId="3" fontId="11" numFmtId="0" xfId="0" applyAlignment="1" applyBorder="1" applyFont="1">
      <alignment horizontal="center" shrinkToFit="0" vertical="center" wrapText="0"/>
    </xf>
    <xf borderId="16" fillId="0" fontId="11" numFmtId="4" xfId="0" applyAlignment="1" applyBorder="1" applyFont="1" applyNumberFormat="1">
      <alignment horizontal="center" shrinkToFit="0" vertical="bottom" wrapText="0"/>
    </xf>
    <xf borderId="16" fillId="0" fontId="11" numFmtId="16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Controle de Arquiv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20" displayName="Table_1" name="Table_1" id="1">
  <tableColumns count="6">
    <tableColumn name="Data" id="1"/>
    <tableColumn name="Referência" id="2"/>
    <tableColumn name="Caminho" id="3"/>
    <tableColumn name="Nome do Arquivo" id="4"/>
    <tableColumn name="Link" id="5"/>
    <tableColumn name="Status" id="6"/>
  </tableColumns>
  <tableStyleInfo name="Controle de Arquiv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2.0" ySplit="9.0" topLeftCell="M10" activePane="bottomRight" state="frozen"/>
      <selection activeCell="M1" sqref="M1" pane="topRight"/>
      <selection activeCell="A10" sqref="A10" pane="bottomLeft"/>
      <selection activeCell="M10" sqref="M10" pane="bottomRight"/>
    </sheetView>
  </sheetViews>
  <sheetFormatPr customHeight="1" defaultColWidth="14.43" defaultRowHeight="15.0"/>
  <cols>
    <col customWidth="1" min="1" max="1" width="21.43"/>
    <col customWidth="1" min="2" max="2" width="38.29"/>
    <col customWidth="1" min="3" max="3" width="18.86"/>
    <col customWidth="1" min="4" max="4" width="19.71"/>
    <col customWidth="1" min="5" max="5" width="17.43"/>
    <col customWidth="1" min="6" max="6" width="19.29"/>
    <col customWidth="1" min="7" max="7" width="10.0"/>
    <col customWidth="1" min="8" max="8" width="19.29"/>
    <col customWidth="1" min="9" max="9" width="20.29"/>
    <col customWidth="1" min="10" max="11" width="8.71"/>
    <col customWidth="1" min="12" max="12" width="10.71"/>
    <col customWidth="1" min="13" max="13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2"/>
      <c r="L1" s="4"/>
    </row>
    <row r="2" ht="22.5" customHeight="1">
      <c r="A2" s="5" t="s">
        <v>2</v>
      </c>
      <c r="B2" s="5" t="s">
        <v>3</v>
      </c>
      <c r="C2" s="6" t="s">
        <v>4</v>
      </c>
      <c r="D2" s="7" t="s">
        <v>5</v>
      </c>
      <c r="E2" s="5" t="s">
        <v>6</v>
      </c>
      <c r="F2" s="7" t="s">
        <v>7</v>
      </c>
      <c r="G2" s="8" t="s">
        <v>8</v>
      </c>
      <c r="H2" s="4"/>
      <c r="I2" s="9"/>
      <c r="J2" s="10" t="s">
        <v>9</v>
      </c>
      <c r="K2" s="11"/>
      <c r="L2" s="12"/>
    </row>
    <row r="3" ht="18.75" customHeight="1">
      <c r="A3" s="13"/>
      <c r="B3" s="14">
        <v>10615.0</v>
      </c>
      <c r="C3" s="14" t="s">
        <v>10</v>
      </c>
      <c r="D3" s="14">
        <v>55278.0</v>
      </c>
      <c r="E3" s="14" t="s">
        <v>11</v>
      </c>
      <c r="F3" s="15">
        <v>45924.0</v>
      </c>
      <c r="G3" s="16">
        <v>45929.0</v>
      </c>
      <c r="H3" s="4"/>
      <c r="I3" s="17"/>
      <c r="J3" s="18"/>
      <c r="L3" s="19"/>
    </row>
    <row r="4" ht="25.5" customHeight="1">
      <c r="A4" s="20" t="s">
        <v>12</v>
      </c>
      <c r="B4" s="21"/>
      <c r="C4" s="2"/>
      <c r="D4" s="2"/>
      <c r="E4" s="2"/>
      <c r="F4" s="2"/>
      <c r="G4" s="2"/>
      <c r="H4" s="2"/>
      <c r="I4" s="4"/>
      <c r="J4" s="18"/>
      <c r="L4" s="19"/>
    </row>
    <row r="5" ht="8.25" customHeight="1">
      <c r="A5" s="22"/>
      <c r="B5" s="2"/>
      <c r="C5" s="2"/>
      <c r="D5" s="2"/>
      <c r="E5" s="2"/>
      <c r="F5" s="2"/>
      <c r="G5" s="2"/>
      <c r="H5" s="2"/>
      <c r="I5" s="4"/>
      <c r="J5" s="18"/>
      <c r="L5" s="19"/>
    </row>
    <row r="6" ht="24.0" customHeight="1">
      <c r="A6" s="23" t="s">
        <v>13</v>
      </c>
      <c r="B6" s="4"/>
      <c r="C6" s="23" t="s">
        <v>14</v>
      </c>
      <c r="D6" s="4"/>
      <c r="E6" s="5" t="s">
        <v>15</v>
      </c>
      <c r="F6" s="24"/>
      <c r="G6" s="8" t="s">
        <v>16</v>
      </c>
      <c r="H6" s="4"/>
      <c r="I6" s="24"/>
      <c r="J6" s="18"/>
      <c r="L6" s="19"/>
    </row>
    <row r="7" ht="15.75" customHeight="1">
      <c r="A7" s="25"/>
      <c r="B7" s="4"/>
      <c r="C7" s="26"/>
      <c r="D7" s="4"/>
      <c r="E7" s="27"/>
      <c r="F7" s="27"/>
      <c r="G7" s="28">
        <v>150.0</v>
      </c>
      <c r="H7" s="4"/>
      <c r="I7" s="27"/>
      <c r="J7" s="18"/>
      <c r="L7" s="19"/>
    </row>
    <row r="8" ht="24.75" customHeight="1">
      <c r="A8" s="29" t="s">
        <v>17</v>
      </c>
      <c r="B8" s="30"/>
      <c r="C8" s="30"/>
      <c r="D8" s="30"/>
      <c r="E8" s="30"/>
      <c r="F8" s="30"/>
      <c r="G8" s="30"/>
      <c r="H8" s="30"/>
      <c r="I8" s="30"/>
      <c r="J8" s="18"/>
      <c r="L8" s="19"/>
    </row>
    <row r="9" ht="27.0" customHeight="1">
      <c r="A9" s="31" t="s">
        <v>18</v>
      </c>
      <c r="B9" s="31" t="s">
        <v>19</v>
      </c>
      <c r="C9" s="31" t="s">
        <v>20</v>
      </c>
      <c r="D9" s="31" t="s">
        <v>21</v>
      </c>
      <c r="E9" s="32" t="s">
        <v>22</v>
      </c>
      <c r="F9" s="31" t="s">
        <v>23</v>
      </c>
      <c r="G9" s="31" t="s">
        <v>24</v>
      </c>
      <c r="H9" s="31" t="s">
        <v>25</v>
      </c>
      <c r="I9" s="32" t="s">
        <v>26</v>
      </c>
      <c r="J9" s="33"/>
      <c r="K9" s="34"/>
      <c r="L9" s="35"/>
    </row>
    <row r="10">
      <c r="A10" s="36"/>
      <c r="B10" s="37" t="s">
        <v>27</v>
      </c>
      <c r="C10" s="36" t="s">
        <v>28</v>
      </c>
      <c r="D10" s="38">
        <v>360.0</v>
      </c>
      <c r="E10" s="39">
        <f t="shared" ref="E10:E24" si="1">IF(OR(C10="",D10=""),"",IF(C10="Jardas",D10*0.9144,IF(C10="Grosa",D10*144,D10)))</f>
        <v>329.184</v>
      </c>
      <c r="F10" s="40">
        <v>6.0</v>
      </c>
      <c r="G10" s="41">
        <v>10.0</v>
      </c>
      <c r="H10" s="42">
        <f t="shared" ref="H10:H24" si="2">IF(OR(E10="",F10="",G10=0),0,E10*F10*(1-G10/100))</f>
        <v>1777.5936</v>
      </c>
      <c r="I10" s="43">
        <f t="shared" ref="I10:I24" si="3">IF(OR(E10="",F10=""),0,E10*F10)</f>
        <v>1975.104</v>
      </c>
      <c r="J10" s="44"/>
    </row>
    <row r="11">
      <c r="A11" s="36"/>
      <c r="B11" s="37" t="s">
        <v>29</v>
      </c>
      <c r="C11" s="36" t="s">
        <v>30</v>
      </c>
      <c r="D11" s="38">
        <v>1.0</v>
      </c>
      <c r="E11" s="39">
        <f t="shared" si="1"/>
        <v>144</v>
      </c>
      <c r="F11" s="40">
        <v>0.57</v>
      </c>
      <c r="G11" s="41">
        <v>0.0</v>
      </c>
      <c r="H11" s="42">
        <f t="shared" si="2"/>
        <v>0</v>
      </c>
      <c r="I11" s="43">
        <f t="shared" si="3"/>
        <v>82.08</v>
      </c>
      <c r="J11" s="44"/>
    </row>
    <row r="12">
      <c r="A12" s="36"/>
      <c r="B12" s="37"/>
      <c r="C12" s="36" t="s">
        <v>31</v>
      </c>
      <c r="D12" s="38">
        <v>1.9</v>
      </c>
      <c r="E12" s="39">
        <f t="shared" si="1"/>
        <v>1.9</v>
      </c>
      <c r="F12" s="40">
        <v>0.0</v>
      </c>
      <c r="G12" s="41">
        <v>0.0</v>
      </c>
      <c r="H12" s="42">
        <f t="shared" si="2"/>
        <v>0</v>
      </c>
      <c r="I12" s="43">
        <f t="shared" si="3"/>
        <v>0</v>
      </c>
      <c r="J12" s="44"/>
    </row>
    <row r="13">
      <c r="A13" s="36"/>
      <c r="B13" s="37"/>
      <c r="C13" s="36"/>
      <c r="D13" s="38">
        <v>30.0</v>
      </c>
      <c r="E13" s="39" t="str">
        <f t="shared" si="1"/>
        <v/>
      </c>
      <c r="F13" s="40">
        <v>6.9</v>
      </c>
      <c r="G13" s="41">
        <v>0.0</v>
      </c>
      <c r="H13" s="42">
        <f t="shared" si="2"/>
        <v>0</v>
      </c>
      <c r="I13" s="43">
        <f t="shared" si="3"/>
        <v>0</v>
      </c>
      <c r="J13" s="44"/>
    </row>
    <row r="14">
      <c r="A14" s="36"/>
      <c r="B14" s="37"/>
      <c r="C14" s="36"/>
      <c r="D14" s="38"/>
      <c r="E14" s="39" t="str">
        <f t="shared" si="1"/>
        <v/>
      </c>
      <c r="F14" s="40">
        <v>0.0</v>
      </c>
      <c r="G14" s="41">
        <v>0.0</v>
      </c>
      <c r="H14" s="42">
        <f t="shared" si="2"/>
        <v>0</v>
      </c>
      <c r="I14" s="43">
        <f t="shared" si="3"/>
        <v>0</v>
      </c>
      <c r="J14" s="44"/>
    </row>
    <row r="15">
      <c r="A15" s="36"/>
      <c r="B15" s="37"/>
      <c r="C15" s="36"/>
      <c r="D15" s="38"/>
      <c r="E15" s="39" t="str">
        <f t="shared" si="1"/>
        <v/>
      </c>
      <c r="F15" s="40">
        <v>0.0</v>
      </c>
      <c r="G15" s="41">
        <v>0.0</v>
      </c>
      <c r="H15" s="42">
        <f t="shared" si="2"/>
        <v>0</v>
      </c>
      <c r="I15" s="43">
        <f t="shared" si="3"/>
        <v>0</v>
      </c>
      <c r="J15" s="44"/>
    </row>
    <row r="16">
      <c r="A16" s="36"/>
      <c r="B16" s="37"/>
      <c r="C16" s="36"/>
      <c r="D16" s="38"/>
      <c r="E16" s="39" t="str">
        <f t="shared" si="1"/>
        <v/>
      </c>
      <c r="F16" s="40">
        <v>0.0</v>
      </c>
      <c r="G16" s="41">
        <v>0.0</v>
      </c>
      <c r="H16" s="42">
        <f t="shared" si="2"/>
        <v>0</v>
      </c>
      <c r="I16" s="43">
        <f t="shared" si="3"/>
        <v>0</v>
      </c>
      <c r="J16" s="44"/>
    </row>
    <row r="17">
      <c r="A17" s="36"/>
      <c r="B17" s="37"/>
      <c r="C17" s="36"/>
      <c r="D17" s="38"/>
      <c r="E17" s="39" t="str">
        <f t="shared" si="1"/>
        <v/>
      </c>
      <c r="F17" s="40">
        <v>0.0</v>
      </c>
      <c r="G17" s="41">
        <v>0.0</v>
      </c>
      <c r="H17" s="42">
        <f t="shared" si="2"/>
        <v>0</v>
      </c>
      <c r="I17" s="43">
        <f t="shared" si="3"/>
        <v>0</v>
      </c>
      <c r="J17" s="44"/>
    </row>
    <row r="18">
      <c r="A18" s="36"/>
      <c r="B18" s="37"/>
      <c r="C18" s="36"/>
      <c r="D18" s="38"/>
      <c r="E18" s="39" t="str">
        <f t="shared" si="1"/>
        <v/>
      </c>
      <c r="F18" s="40">
        <v>0.0</v>
      </c>
      <c r="G18" s="41">
        <v>0.0</v>
      </c>
      <c r="H18" s="42">
        <f t="shared" si="2"/>
        <v>0</v>
      </c>
      <c r="I18" s="43">
        <f t="shared" si="3"/>
        <v>0</v>
      </c>
      <c r="J18" s="44"/>
    </row>
    <row r="19">
      <c r="A19" s="36"/>
      <c r="B19" s="37"/>
      <c r="C19" s="36"/>
      <c r="D19" s="38"/>
      <c r="E19" s="39" t="str">
        <f t="shared" si="1"/>
        <v/>
      </c>
      <c r="F19" s="40">
        <v>0.0</v>
      </c>
      <c r="G19" s="41">
        <v>0.0</v>
      </c>
      <c r="H19" s="42">
        <f t="shared" si="2"/>
        <v>0</v>
      </c>
      <c r="I19" s="43">
        <f t="shared" si="3"/>
        <v>0</v>
      </c>
      <c r="J19" s="44"/>
    </row>
    <row r="20">
      <c r="A20" s="36"/>
      <c r="B20" s="37"/>
      <c r="C20" s="36"/>
      <c r="D20" s="38"/>
      <c r="E20" s="39" t="str">
        <f t="shared" si="1"/>
        <v/>
      </c>
      <c r="F20" s="40">
        <v>0.0</v>
      </c>
      <c r="G20" s="41">
        <v>0.0</v>
      </c>
      <c r="H20" s="42">
        <f t="shared" si="2"/>
        <v>0</v>
      </c>
      <c r="I20" s="43">
        <f t="shared" si="3"/>
        <v>0</v>
      </c>
      <c r="J20" s="44"/>
    </row>
    <row r="21" ht="15.75" customHeight="1">
      <c r="A21" s="36"/>
      <c r="B21" s="37"/>
      <c r="C21" s="36"/>
      <c r="D21" s="38"/>
      <c r="E21" s="39" t="str">
        <f t="shared" si="1"/>
        <v/>
      </c>
      <c r="F21" s="40">
        <v>0.0</v>
      </c>
      <c r="G21" s="41">
        <v>0.0</v>
      </c>
      <c r="H21" s="42">
        <f t="shared" si="2"/>
        <v>0</v>
      </c>
      <c r="I21" s="43">
        <f t="shared" si="3"/>
        <v>0</v>
      </c>
      <c r="J21" s="44"/>
    </row>
    <row r="22" ht="15.75" customHeight="1">
      <c r="A22" s="36"/>
      <c r="B22" s="37"/>
      <c r="C22" s="36"/>
      <c r="D22" s="38"/>
      <c r="E22" s="39" t="str">
        <f t="shared" si="1"/>
        <v/>
      </c>
      <c r="F22" s="40">
        <v>0.0</v>
      </c>
      <c r="G22" s="41">
        <v>0.0</v>
      </c>
      <c r="H22" s="42">
        <f t="shared" si="2"/>
        <v>0</v>
      </c>
      <c r="I22" s="43">
        <f t="shared" si="3"/>
        <v>0</v>
      </c>
      <c r="J22" s="44"/>
    </row>
    <row r="23" ht="15.75" customHeight="1">
      <c r="A23" s="36"/>
      <c r="B23" s="37"/>
      <c r="C23" s="36"/>
      <c r="D23" s="38"/>
      <c r="E23" s="39" t="str">
        <f t="shared" si="1"/>
        <v/>
      </c>
      <c r="F23" s="40">
        <v>0.0</v>
      </c>
      <c r="G23" s="41">
        <v>0.0</v>
      </c>
      <c r="H23" s="42">
        <f t="shared" si="2"/>
        <v>0</v>
      </c>
      <c r="I23" s="43">
        <f t="shared" si="3"/>
        <v>0</v>
      </c>
      <c r="J23" s="44"/>
      <c r="M23" s="45"/>
    </row>
    <row r="24" ht="15.75" customHeight="1">
      <c r="A24" s="36"/>
      <c r="B24" s="37"/>
      <c r="C24" s="36"/>
      <c r="D24" s="38"/>
      <c r="E24" s="39" t="str">
        <f t="shared" si="1"/>
        <v/>
      </c>
      <c r="F24" s="40">
        <v>0.0</v>
      </c>
      <c r="G24" s="41">
        <v>0.0</v>
      </c>
      <c r="H24" s="42">
        <f t="shared" si="2"/>
        <v>0</v>
      </c>
      <c r="I24" s="43">
        <f t="shared" si="3"/>
        <v>0</v>
      </c>
      <c r="J24" s="44"/>
    </row>
    <row r="25" ht="15.75" customHeight="1">
      <c r="A25" s="46"/>
    </row>
    <row r="26" ht="15.75" customHeight="1">
      <c r="A26" s="47" t="s">
        <v>32</v>
      </c>
      <c r="B26" s="48"/>
      <c r="C26" s="48"/>
      <c r="D26" s="48"/>
      <c r="E26" s="48"/>
      <c r="F26" s="48"/>
      <c r="G26" s="48"/>
      <c r="H26" s="48"/>
      <c r="I26" s="49"/>
      <c r="J26" s="47" t="s">
        <v>33</v>
      </c>
      <c r="K26" s="48"/>
      <c r="L26" s="49"/>
    </row>
    <row r="27" ht="15.75" customHeight="1">
      <c r="A27" s="50"/>
      <c r="B27" s="51"/>
      <c r="C27" s="51"/>
      <c r="D27" s="51"/>
      <c r="E27" s="51"/>
      <c r="F27" s="51"/>
      <c r="G27" s="51"/>
      <c r="H27" s="51"/>
      <c r="I27" s="52"/>
      <c r="J27" s="50"/>
      <c r="K27" s="51"/>
      <c r="L27" s="52"/>
    </row>
    <row r="28" ht="15.75" customHeight="1">
      <c r="A28" s="53"/>
      <c r="B28" s="54"/>
      <c r="C28" s="53" t="s">
        <v>31</v>
      </c>
      <c r="D28" s="55">
        <v>-2.0</v>
      </c>
      <c r="E28" s="56">
        <f t="shared" ref="E28:E36" si="4">IF(OR(C28="",D28=""),"",IF(C28="Jardas",D28*0.9144,IF(C28="Grosa",D28*144,D28)))</f>
        <v>-2</v>
      </c>
      <c r="F28" s="40">
        <v>30.0</v>
      </c>
      <c r="G28" s="57">
        <v>10.0</v>
      </c>
      <c r="H28" s="58">
        <f t="shared" ref="H28:H36" si="5">IF(OR(E28="",F28="",G28=0),0,E28*F28*(1-G28/100))</f>
        <v>-54</v>
      </c>
      <c r="I28" s="59">
        <f t="shared" ref="I28:I36" si="6">IF(OR(E28="",F28=""),0,E28*F28)</f>
        <v>-60</v>
      </c>
    </row>
    <row r="29" ht="15.75" customHeight="1">
      <c r="A29" s="36"/>
      <c r="B29" s="37"/>
      <c r="C29" s="36" t="s">
        <v>31</v>
      </c>
      <c r="D29" s="38">
        <v>2.0</v>
      </c>
      <c r="E29" s="39">
        <f t="shared" si="4"/>
        <v>2</v>
      </c>
      <c r="F29" s="40">
        <v>1.0</v>
      </c>
      <c r="G29" s="41">
        <v>50.0</v>
      </c>
      <c r="H29" s="58">
        <f t="shared" si="5"/>
        <v>1</v>
      </c>
      <c r="I29" s="43">
        <f t="shared" si="6"/>
        <v>2</v>
      </c>
    </row>
    <row r="30" ht="15.75" customHeight="1">
      <c r="A30" s="36"/>
      <c r="B30" s="37"/>
      <c r="C30" s="36"/>
      <c r="D30" s="38"/>
      <c r="E30" s="39" t="str">
        <f t="shared" si="4"/>
        <v/>
      </c>
      <c r="F30" s="40">
        <v>0.0</v>
      </c>
      <c r="G30" s="41">
        <v>0.0</v>
      </c>
      <c r="H30" s="58">
        <f t="shared" si="5"/>
        <v>0</v>
      </c>
      <c r="I30" s="43">
        <f t="shared" si="6"/>
        <v>0</v>
      </c>
    </row>
    <row r="31" ht="15.75" customHeight="1">
      <c r="A31" s="36"/>
      <c r="B31" s="37"/>
      <c r="C31" s="36"/>
      <c r="D31" s="38"/>
      <c r="E31" s="39" t="str">
        <f t="shared" si="4"/>
        <v/>
      </c>
      <c r="F31" s="40">
        <v>0.0</v>
      </c>
      <c r="G31" s="41">
        <v>0.0</v>
      </c>
      <c r="H31" s="58">
        <f t="shared" si="5"/>
        <v>0</v>
      </c>
      <c r="I31" s="43">
        <f t="shared" si="6"/>
        <v>0</v>
      </c>
    </row>
    <row r="32" ht="15.75" customHeight="1">
      <c r="A32" s="36"/>
      <c r="B32" s="37"/>
      <c r="C32" s="36"/>
      <c r="D32" s="38"/>
      <c r="E32" s="39" t="str">
        <f t="shared" si="4"/>
        <v/>
      </c>
      <c r="F32" s="40">
        <v>0.0</v>
      </c>
      <c r="G32" s="41">
        <v>0.0</v>
      </c>
      <c r="H32" s="58">
        <f t="shared" si="5"/>
        <v>0</v>
      </c>
      <c r="I32" s="43">
        <f t="shared" si="6"/>
        <v>0</v>
      </c>
    </row>
    <row r="33" ht="15.75" customHeight="1">
      <c r="A33" s="36"/>
      <c r="B33" s="37"/>
      <c r="C33" s="36"/>
      <c r="D33" s="38"/>
      <c r="E33" s="39" t="str">
        <f t="shared" si="4"/>
        <v/>
      </c>
      <c r="F33" s="40">
        <v>0.0</v>
      </c>
      <c r="G33" s="41">
        <v>0.0</v>
      </c>
      <c r="H33" s="58">
        <f t="shared" si="5"/>
        <v>0</v>
      </c>
      <c r="I33" s="43">
        <f t="shared" si="6"/>
        <v>0</v>
      </c>
    </row>
    <row r="34" ht="15.75" customHeight="1">
      <c r="A34" s="36"/>
      <c r="B34" s="37"/>
      <c r="C34" s="36"/>
      <c r="D34" s="38"/>
      <c r="E34" s="39" t="str">
        <f t="shared" si="4"/>
        <v/>
      </c>
      <c r="F34" s="40">
        <v>0.0</v>
      </c>
      <c r="G34" s="41">
        <v>0.0</v>
      </c>
      <c r="H34" s="58">
        <f t="shared" si="5"/>
        <v>0</v>
      </c>
      <c r="I34" s="43">
        <f t="shared" si="6"/>
        <v>0</v>
      </c>
    </row>
    <row r="35" ht="15.75" customHeight="1">
      <c r="A35" s="36"/>
      <c r="B35" s="37"/>
      <c r="C35" s="36"/>
      <c r="D35" s="38"/>
      <c r="E35" s="39" t="str">
        <f t="shared" si="4"/>
        <v/>
      </c>
      <c r="F35" s="40">
        <v>0.0</v>
      </c>
      <c r="G35" s="41">
        <v>0.0</v>
      </c>
      <c r="H35" s="58">
        <f t="shared" si="5"/>
        <v>0</v>
      </c>
      <c r="I35" s="43">
        <f t="shared" si="6"/>
        <v>0</v>
      </c>
    </row>
    <row r="36" ht="15.75" customHeight="1">
      <c r="A36" s="36"/>
      <c r="B36" s="37"/>
      <c r="C36" s="36"/>
      <c r="D36" s="38"/>
      <c r="E36" s="39" t="str">
        <f t="shared" si="4"/>
        <v/>
      </c>
      <c r="F36" s="40">
        <v>0.0</v>
      </c>
      <c r="G36" s="41">
        <v>0.0</v>
      </c>
      <c r="H36" s="58">
        <f t="shared" si="5"/>
        <v>0</v>
      </c>
      <c r="I36" s="43">
        <f t="shared" si="6"/>
        <v>0</v>
      </c>
    </row>
    <row r="37" ht="15.75" customHeight="1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ht="18.75" customHeight="1">
      <c r="A38" s="63" t="s">
        <v>34</v>
      </c>
      <c r="B38" s="64"/>
      <c r="C38" s="64"/>
      <c r="D38" s="64"/>
      <c r="E38" s="64"/>
      <c r="F38" s="64"/>
      <c r="G38" s="64"/>
      <c r="H38" s="65">
        <f>IF(SUM(H10:H24,H28:H36)=0,0,SUM(H10:H24,H28:H36))</f>
        <v>1724.5936</v>
      </c>
      <c r="I38" s="66">
        <f>SUM(I10:I24,I28:I36)</f>
        <v>1999.184</v>
      </c>
    </row>
    <row r="39" ht="24.75" customHeight="1">
      <c r="A39" s="67" t="s">
        <v>35</v>
      </c>
      <c r="H39" s="68">
        <f>IF(VALUE(SUBSTITUTE(SUBSTITUTE(H38,"R$","")," ",""))=0,
   0,
   MAX(
     VALUE(SUBSTITUTE(SUBSTITUTE(I38,"R$","")," ",""))
     - VALUE(SUBSTITUTE(SUBSTITUTE(H38,"R$","")," ","")),
     0
   )
)</f>
        <v>274.59</v>
      </c>
      <c r="I39" s="69"/>
    </row>
    <row r="40" ht="15.75" customHeight="1">
      <c r="A40" s="70" t="s">
        <v>36</v>
      </c>
      <c r="B40" s="71"/>
      <c r="C40" s="71"/>
      <c r="D40" s="71"/>
      <c r="E40" s="71"/>
      <c r="F40" s="71"/>
      <c r="G40" s="71"/>
      <c r="H40" s="72">
        <f>IF(OR(G7="",G7=0),"",IF(H38=0,ROUND((I38/G7)*1.15,2),ROUND((H38/G7)*1.15,2)))</f>
        <v>13.22</v>
      </c>
      <c r="I40" s="49"/>
    </row>
    <row r="41" ht="13.5" customHeight="1">
      <c r="A41" s="73"/>
      <c r="H41" s="50"/>
      <c r="I41" s="52"/>
    </row>
    <row r="42" ht="15.75" customHeight="1"/>
    <row r="43" ht="27.0" customHeight="1">
      <c r="A43" s="74" t="s">
        <v>37</v>
      </c>
      <c r="B43" s="75"/>
      <c r="C43" s="75"/>
      <c r="D43" s="75"/>
      <c r="E43" s="75"/>
      <c r="F43" s="75"/>
      <c r="G43" s="75"/>
      <c r="H43" s="75"/>
      <c r="I43" s="69"/>
    </row>
    <row r="44" ht="15.75" customHeight="1">
      <c r="A44" s="76"/>
      <c r="B44" s="48"/>
      <c r="C44" s="48"/>
      <c r="D44" s="48"/>
      <c r="E44" s="48"/>
      <c r="F44" s="48"/>
      <c r="G44" s="48"/>
      <c r="H44" s="48"/>
      <c r="I44" s="49"/>
    </row>
    <row r="45" ht="15.75" customHeight="1">
      <c r="A45" s="77"/>
      <c r="I45" s="78"/>
    </row>
    <row r="46" ht="15.75" customHeight="1">
      <c r="A46" s="77"/>
      <c r="I46" s="78"/>
    </row>
    <row r="47" ht="15.75" customHeight="1">
      <c r="A47" s="77"/>
      <c r="I47" s="78"/>
    </row>
    <row r="48" ht="15.75" customHeight="1">
      <c r="A48" s="50"/>
      <c r="B48" s="51"/>
      <c r="C48" s="51"/>
      <c r="D48" s="51"/>
      <c r="E48" s="51"/>
      <c r="F48" s="51"/>
      <c r="G48" s="51"/>
      <c r="H48" s="51"/>
      <c r="I48" s="5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43:I43"/>
    <mergeCell ref="A44:I48"/>
    <mergeCell ref="A37:L37"/>
    <mergeCell ref="A38:G38"/>
    <mergeCell ref="A39:G39"/>
    <mergeCell ref="H39:I39"/>
    <mergeCell ref="A40:G41"/>
    <mergeCell ref="H40:I41"/>
    <mergeCell ref="A42:I42"/>
    <mergeCell ref="A6:B6"/>
    <mergeCell ref="C6:D6"/>
    <mergeCell ref="G6:H6"/>
    <mergeCell ref="A7:B7"/>
    <mergeCell ref="C7:D7"/>
    <mergeCell ref="G7:H7"/>
    <mergeCell ref="A1:I1"/>
    <mergeCell ref="J1:L1"/>
    <mergeCell ref="G2:H2"/>
    <mergeCell ref="G3:H3"/>
    <mergeCell ref="B4:I4"/>
    <mergeCell ref="A5:I5"/>
    <mergeCell ref="A8:I8"/>
    <mergeCell ref="J2:L9"/>
    <mergeCell ref="J10:L10"/>
    <mergeCell ref="J11:L11"/>
    <mergeCell ref="J12:L12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J24:L24"/>
    <mergeCell ref="A25:I25"/>
    <mergeCell ref="A26:I27"/>
    <mergeCell ref="J26:L27"/>
    <mergeCell ref="J28:L28"/>
    <mergeCell ref="J29:L29"/>
    <mergeCell ref="J30:L30"/>
    <mergeCell ref="J31:L31"/>
    <mergeCell ref="J32:L32"/>
    <mergeCell ref="J33:L33"/>
    <mergeCell ref="J34:L34"/>
    <mergeCell ref="J35:L35"/>
    <mergeCell ref="J36:L36"/>
  </mergeCells>
  <dataValidations>
    <dataValidation type="list" allowBlank="1" sqref="C30">
      <formula1>"Metros,Jardas,Grosa,Paço,Milheiro,Unidades,kULOS"</formula1>
    </dataValidation>
    <dataValidation type="list" allowBlank="1" showErrorMessage="1" sqref="C3">
      <formula1>"Verão,Inverno"</formula1>
    </dataValidation>
    <dataValidation type="list" allowBlank="1" sqref="A7">
      <formula1>"Aviamentos Silva Ltda,Tecidos &amp; Botões Comercial,Distribuidora Zíperes Master,Linha &amp; Arte Fornecedora,Central de Etiquetas SP"</formula1>
    </dataValidation>
    <dataValidation type="list" allowBlank="1" sqref="C12">
      <formula1>"Metros,Jardas,Grosa,Paço,Milheiro,Unidades,Kilos"</formula1>
    </dataValidation>
    <dataValidation type="list" allowBlank="1" showErrorMessage="1" sqref="E3">
      <formula1>"Em digitação,Aprovado,Cancelado,Revisando"</formula1>
    </dataValidation>
    <dataValidation type="list" allowBlank="1" sqref="B10:B24 B28:B36">
      <formula1>'Catálogo Insumos'!$C$5:$C$24</formula1>
    </dataValidation>
    <dataValidation type="list" allowBlank="1" sqref="C10:C11 C13:C24 C28:C29 C31:C36">
      <formula1>"Metros,Jardas,Grosa,Paço,Milheiro,Unidades"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2.71"/>
    <col customWidth="1" min="3" max="3" width="20.14"/>
    <col customWidth="1" min="4" max="4" width="33.29"/>
    <col customWidth="1" min="5" max="5" width="32.57"/>
    <col customWidth="1" min="6" max="6" width="14.43"/>
    <col customWidth="1" min="15" max="15" width="20.71"/>
  </cols>
  <sheetData>
    <row r="1" ht="32.25" customHeight="1">
      <c r="A1" s="79"/>
      <c r="B1" s="79"/>
      <c r="C1" s="80" t="s">
        <v>38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ht="21.75" customHeight="1">
      <c r="A2" s="31" t="s">
        <v>39</v>
      </c>
      <c r="B2" s="31" t="s">
        <v>40</v>
      </c>
      <c r="C2" s="31" t="s">
        <v>41</v>
      </c>
      <c r="D2" s="31" t="s">
        <v>42</v>
      </c>
      <c r="E2" s="31" t="s">
        <v>19</v>
      </c>
      <c r="F2" s="31" t="s">
        <v>20</v>
      </c>
      <c r="G2" s="31" t="s">
        <v>43</v>
      </c>
      <c r="H2" s="31" t="s">
        <v>24</v>
      </c>
      <c r="I2" s="31" t="s">
        <v>23</v>
      </c>
      <c r="J2" s="32" t="s">
        <v>44</v>
      </c>
      <c r="K2" s="81" t="s">
        <v>9</v>
      </c>
      <c r="L2" s="82" t="s">
        <v>45</v>
      </c>
      <c r="M2" s="82" t="s">
        <v>46</v>
      </c>
      <c r="N2" s="82" t="s">
        <v>47</v>
      </c>
      <c r="O2" s="82" t="s">
        <v>48</v>
      </c>
    </row>
    <row r="3">
      <c r="A3" s="83">
        <v>45940.0</v>
      </c>
      <c r="B3" s="84" t="s">
        <v>49</v>
      </c>
      <c r="C3" s="85" t="s">
        <v>50</v>
      </c>
      <c r="D3" s="86" t="s">
        <v>51</v>
      </c>
      <c r="E3" s="87" t="s">
        <v>52</v>
      </c>
      <c r="F3" s="53" t="s">
        <v>30</v>
      </c>
      <c r="G3" s="88">
        <v>1.0</v>
      </c>
      <c r="H3" s="89">
        <v>0.0</v>
      </c>
      <c r="I3" s="90">
        <v>1.0</v>
      </c>
      <c r="J3" s="91">
        <f t="shared" ref="J3:J17" si="1">PRODUCT(G3*I3)</f>
        <v>1</v>
      </c>
      <c r="K3" s="92" t="s">
        <v>53</v>
      </c>
      <c r="L3" s="93"/>
      <c r="M3" s="94" t="s">
        <v>54</v>
      </c>
      <c r="N3" s="92" t="s">
        <v>55</v>
      </c>
      <c r="O3" s="95"/>
    </row>
    <row r="4">
      <c r="A4" s="84"/>
      <c r="B4" s="84"/>
      <c r="C4" s="96"/>
      <c r="D4" s="86"/>
      <c r="E4" s="97"/>
      <c r="F4" s="36" t="s">
        <v>28</v>
      </c>
      <c r="G4" s="98">
        <v>10.0</v>
      </c>
      <c r="H4" s="99">
        <v>0.0</v>
      </c>
      <c r="I4" s="100">
        <v>1.0</v>
      </c>
      <c r="J4" s="42">
        <f t="shared" si="1"/>
        <v>10</v>
      </c>
      <c r="K4" s="92"/>
      <c r="L4" s="93"/>
      <c r="M4" s="94" t="s">
        <v>56</v>
      </c>
      <c r="N4" s="101"/>
      <c r="O4" s="95"/>
    </row>
    <row r="5">
      <c r="A5" s="84"/>
      <c r="B5" s="84"/>
      <c r="C5" s="96"/>
      <c r="D5" s="86"/>
      <c r="E5" s="97"/>
      <c r="F5" s="36" t="s">
        <v>57</v>
      </c>
      <c r="G5" s="98"/>
      <c r="H5" s="99">
        <v>0.0</v>
      </c>
      <c r="I5" s="100"/>
      <c r="J5" s="42">
        <f t="shared" si="1"/>
        <v>0</v>
      </c>
      <c r="K5" s="92"/>
      <c r="L5" s="93"/>
      <c r="M5" s="94"/>
      <c r="N5" s="101"/>
      <c r="O5" s="95"/>
    </row>
    <row r="6">
      <c r="A6" s="84"/>
      <c r="B6" s="84"/>
      <c r="C6" s="96"/>
      <c r="D6" s="86"/>
      <c r="E6" s="97"/>
      <c r="F6" s="36"/>
      <c r="G6" s="98"/>
      <c r="H6" s="99">
        <v>0.0</v>
      </c>
      <c r="I6" s="100"/>
      <c r="J6" s="42">
        <f t="shared" si="1"/>
        <v>0</v>
      </c>
      <c r="K6" s="92"/>
      <c r="L6" s="93"/>
      <c r="M6" s="94"/>
      <c r="N6" s="101"/>
      <c r="O6" s="95"/>
    </row>
    <row r="7">
      <c r="A7" s="84"/>
      <c r="B7" s="84"/>
      <c r="C7" s="96"/>
      <c r="D7" s="86"/>
      <c r="E7" s="97"/>
      <c r="F7" s="36"/>
      <c r="G7" s="98"/>
      <c r="H7" s="99">
        <v>0.0</v>
      </c>
      <c r="I7" s="100"/>
      <c r="J7" s="42">
        <f t="shared" si="1"/>
        <v>0</v>
      </c>
      <c r="K7" s="92"/>
      <c r="L7" s="93"/>
      <c r="M7" s="94"/>
      <c r="N7" s="101"/>
      <c r="O7" s="95"/>
    </row>
    <row r="8">
      <c r="A8" s="84"/>
      <c r="B8" s="84"/>
      <c r="C8" s="96"/>
      <c r="D8" s="86"/>
      <c r="E8" s="97"/>
      <c r="F8" s="36"/>
      <c r="G8" s="98"/>
      <c r="H8" s="99">
        <v>0.0</v>
      </c>
      <c r="I8" s="100"/>
      <c r="J8" s="42">
        <f t="shared" si="1"/>
        <v>0</v>
      </c>
      <c r="K8" s="92"/>
      <c r="L8" s="93"/>
      <c r="M8" s="94"/>
      <c r="N8" s="101"/>
      <c r="O8" s="95"/>
    </row>
    <row r="9">
      <c r="A9" s="84"/>
      <c r="B9" s="84"/>
      <c r="C9" s="96"/>
      <c r="D9" s="86"/>
      <c r="E9" s="97"/>
      <c r="F9" s="36"/>
      <c r="G9" s="98"/>
      <c r="H9" s="99">
        <v>0.0</v>
      </c>
      <c r="I9" s="100"/>
      <c r="J9" s="42">
        <f t="shared" si="1"/>
        <v>0</v>
      </c>
      <c r="K9" s="92"/>
      <c r="L9" s="93"/>
      <c r="M9" s="94"/>
      <c r="N9" s="101"/>
      <c r="O9" s="95"/>
    </row>
    <row r="10">
      <c r="A10" s="84"/>
      <c r="B10" s="84"/>
      <c r="C10" s="96"/>
      <c r="D10" s="86"/>
      <c r="E10" s="97"/>
      <c r="F10" s="36"/>
      <c r="G10" s="98"/>
      <c r="H10" s="99">
        <v>0.0</v>
      </c>
      <c r="I10" s="100"/>
      <c r="J10" s="42">
        <f t="shared" si="1"/>
        <v>0</v>
      </c>
      <c r="K10" s="92"/>
      <c r="L10" s="93"/>
      <c r="M10" s="94"/>
      <c r="N10" s="101"/>
      <c r="O10" s="95"/>
    </row>
    <row r="11">
      <c r="A11" s="84"/>
      <c r="B11" s="84"/>
      <c r="C11" s="96"/>
      <c r="D11" s="86"/>
      <c r="E11" s="97"/>
      <c r="F11" s="36"/>
      <c r="G11" s="98"/>
      <c r="H11" s="99">
        <v>0.0</v>
      </c>
      <c r="I11" s="100"/>
      <c r="J11" s="42">
        <f t="shared" si="1"/>
        <v>0</v>
      </c>
      <c r="K11" s="92"/>
      <c r="L11" s="93"/>
      <c r="M11" s="94"/>
      <c r="N11" s="101"/>
      <c r="O11" s="95"/>
    </row>
    <row r="12">
      <c r="A12" s="84"/>
      <c r="B12" s="84"/>
      <c r="C12" s="96"/>
      <c r="D12" s="86"/>
      <c r="E12" s="97"/>
      <c r="F12" s="36"/>
      <c r="G12" s="98"/>
      <c r="H12" s="99">
        <v>0.0</v>
      </c>
      <c r="I12" s="100"/>
      <c r="J12" s="42">
        <f t="shared" si="1"/>
        <v>0</v>
      </c>
      <c r="K12" s="92"/>
      <c r="L12" s="93"/>
      <c r="M12" s="94"/>
      <c r="N12" s="101"/>
      <c r="O12" s="95"/>
    </row>
    <row r="13">
      <c r="A13" s="84"/>
      <c r="B13" s="84"/>
      <c r="C13" s="96"/>
      <c r="D13" s="86"/>
      <c r="E13" s="97"/>
      <c r="F13" s="36"/>
      <c r="G13" s="98"/>
      <c r="H13" s="99">
        <v>0.0</v>
      </c>
      <c r="I13" s="100"/>
      <c r="J13" s="42">
        <f t="shared" si="1"/>
        <v>0</v>
      </c>
      <c r="K13" s="92"/>
      <c r="L13" s="93"/>
      <c r="M13" s="94"/>
      <c r="N13" s="101"/>
      <c r="O13" s="95"/>
    </row>
    <row r="14">
      <c r="A14" s="84"/>
      <c r="B14" s="84"/>
      <c r="C14" s="96"/>
      <c r="D14" s="86"/>
      <c r="E14" s="97"/>
      <c r="F14" s="36"/>
      <c r="G14" s="98"/>
      <c r="H14" s="99">
        <v>0.0</v>
      </c>
      <c r="I14" s="100"/>
      <c r="J14" s="42">
        <f t="shared" si="1"/>
        <v>0</v>
      </c>
      <c r="K14" s="92"/>
      <c r="L14" s="93"/>
      <c r="M14" s="94"/>
      <c r="N14" s="101"/>
      <c r="O14" s="95"/>
    </row>
    <row r="15">
      <c r="A15" s="84"/>
      <c r="B15" s="84"/>
      <c r="C15" s="96"/>
      <c r="D15" s="86"/>
      <c r="E15" s="97"/>
      <c r="F15" s="36"/>
      <c r="G15" s="98"/>
      <c r="H15" s="99">
        <v>0.0</v>
      </c>
      <c r="I15" s="100"/>
      <c r="J15" s="42">
        <f t="shared" si="1"/>
        <v>0</v>
      </c>
      <c r="K15" s="92"/>
      <c r="L15" s="93"/>
      <c r="M15" s="94"/>
      <c r="N15" s="101"/>
      <c r="O15" s="95"/>
    </row>
    <row r="16">
      <c r="A16" s="84"/>
      <c r="B16" s="84"/>
      <c r="C16" s="96"/>
      <c r="D16" s="86"/>
      <c r="E16" s="97"/>
      <c r="F16" s="36"/>
      <c r="G16" s="98"/>
      <c r="H16" s="99">
        <v>0.0</v>
      </c>
      <c r="I16" s="100"/>
      <c r="J16" s="42">
        <f t="shared" si="1"/>
        <v>0</v>
      </c>
      <c r="K16" s="92"/>
      <c r="L16" s="93"/>
      <c r="M16" s="94"/>
      <c r="N16" s="101"/>
      <c r="O16" s="95"/>
    </row>
    <row r="17">
      <c r="A17" s="84"/>
      <c r="B17" s="84"/>
      <c r="C17" s="102"/>
      <c r="D17" s="86"/>
      <c r="E17" s="103"/>
      <c r="F17" s="36"/>
      <c r="G17" s="104"/>
      <c r="H17" s="99">
        <v>0.0</v>
      </c>
      <c r="I17" s="105"/>
      <c r="J17" s="42">
        <f t="shared" si="1"/>
        <v>0</v>
      </c>
      <c r="K17" s="92"/>
      <c r="L17" s="93"/>
      <c r="M17" s="94"/>
      <c r="N17" s="101"/>
      <c r="O17" s="95"/>
    </row>
    <row r="18">
      <c r="A18" s="93"/>
      <c r="B18" s="93"/>
      <c r="C18" s="93"/>
      <c r="D18" s="93"/>
      <c r="E18" s="93"/>
      <c r="F18" s="106"/>
      <c r="G18" s="107"/>
      <c r="H18" s="93"/>
      <c r="I18" s="93"/>
      <c r="J18" s="93"/>
    </row>
    <row r="19">
      <c r="A19" s="93"/>
      <c r="B19" s="93"/>
      <c r="C19" s="93"/>
      <c r="D19" s="93"/>
      <c r="E19" s="93"/>
      <c r="F19" s="106"/>
      <c r="G19" s="107"/>
      <c r="H19" s="93"/>
      <c r="I19" s="93"/>
      <c r="J19" s="93"/>
    </row>
    <row r="20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</row>
    <row r="21" ht="15.75" customHeight="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</row>
    <row r="22" ht="15.75" customHeight="1">
      <c r="A22" s="108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</row>
    <row r="23" ht="15.75" customHeight="1">
      <c r="A23" s="108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</row>
    <row r="24" ht="15.75" customHeight="1">
      <c r="A24" s="108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</row>
    <row r="25" ht="15.75" customHeight="1">
      <c r="A25" s="108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</row>
    <row r="26" ht="15.75" customHeight="1">
      <c r="A26" s="108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</row>
    <row r="27" ht="15.75" customHeight="1">
      <c r="B27" s="93"/>
      <c r="C27" s="93"/>
      <c r="D27" s="93"/>
      <c r="E27" s="93"/>
      <c r="F27" s="93"/>
      <c r="G27" s="93"/>
      <c r="H27" s="93"/>
    </row>
    <row r="28" ht="15.75" customHeight="1">
      <c r="A28" s="109"/>
      <c r="B28" s="93"/>
      <c r="C28" s="93"/>
      <c r="D28" s="93"/>
      <c r="E28" s="93"/>
      <c r="F28" s="93"/>
      <c r="G28" s="93"/>
      <c r="H28" s="93"/>
      <c r="I28" s="109"/>
      <c r="J28" s="109"/>
    </row>
    <row r="29" ht="15.75" customHeight="1">
      <c r="A29" s="94"/>
      <c r="B29" s="93"/>
      <c r="C29" s="93"/>
      <c r="D29" s="93"/>
      <c r="E29" s="93"/>
      <c r="F29" s="93"/>
      <c r="G29" s="93"/>
      <c r="H29" s="93"/>
    </row>
    <row r="30" ht="15.75" customHeight="1">
      <c r="A30" s="46"/>
      <c r="B30" s="93"/>
      <c r="C30" s="93"/>
      <c r="D30" s="93"/>
      <c r="E30" s="93"/>
      <c r="F30" s="93"/>
      <c r="G30" s="93"/>
      <c r="H30" s="93"/>
    </row>
    <row r="31" ht="15.75" customHeight="1">
      <c r="A31" s="46"/>
      <c r="B31" s="93"/>
      <c r="C31" s="93"/>
      <c r="D31" s="93"/>
      <c r="E31" s="93"/>
      <c r="F31" s="93"/>
      <c r="G31" s="93"/>
      <c r="H31" s="9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O1"/>
  </mergeCells>
  <dataValidations>
    <dataValidation type="list" allowBlank="1" sqref="F3:F17">
      <formula1>"Metros,Jardas,Grosa,Milheiro,Unidades,kilos"</formula1>
    </dataValidation>
    <dataValidation type="list" allowBlank="1" showErrorMessage="1" sqref="N3:N17">
      <formula1>"Michel,Beatriz,Jessica"</formula1>
    </dataValidation>
    <dataValidation type="list" allowBlank="1" sqref="D3:D17">
      <formula1>"Aviamentos Silva Ltda,Tecidos &amp; Botões Comercial,Distribuidora Zíperes Master,Linha &amp; Arte Fornecedora,Central de Etiquetas SP"</formula1>
    </dataValidation>
    <dataValidation type="list" allowBlank="1" showErrorMessage="1" sqref="M3:M17">
      <formula1>"Sim,Não"</formula1>
    </dataValidation>
    <dataValidation type="list" allowBlank="1" showErrorMessage="1" sqref="B3:B17">
      <formula1>"Adriana,Stefanni,Lorena"</formula1>
    </dataValidation>
    <dataValidation type="list" allowBlank="1" sqref="E3:E17">
      <formula1>'Catálogo Insumos'!$C$5:$C$24</formula1>
    </dataValidation>
    <dataValidation type="list" allowBlank="1" showErrorMessage="1" sqref="K3:K17">
      <formula1>"Concluído,Cancelado"</formula1>
    </dataValidation>
  </dataValidations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4.0"/>
    <col customWidth="1" min="3" max="3" width="25.0"/>
    <col customWidth="1" min="4" max="4" width="15.0"/>
    <col customWidth="1" min="5" max="5" width="30.0"/>
    <col customWidth="1" min="6" max="6" width="21.57"/>
    <col customWidth="1" min="7" max="7" width="15.14"/>
    <col customWidth="1" min="8" max="8" width="23.0"/>
  </cols>
  <sheetData>
    <row r="1" ht="30.0" customHeight="1">
      <c r="A1" s="110" t="s">
        <v>58</v>
      </c>
      <c r="B1" s="30"/>
      <c r="C1" s="30"/>
      <c r="D1" s="30"/>
      <c r="E1" s="30"/>
      <c r="F1" s="30"/>
      <c r="G1" s="30"/>
      <c r="H1" s="30"/>
    </row>
    <row r="2" ht="21.75" customHeight="1">
      <c r="A2" s="111" t="s">
        <v>59</v>
      </c>
      <c r="B2" s="30"/>
      <c r="C2" s="30"/>
      <c r="D2" s="30"/>
      <c r="E2" s="30"/>
      <c r="F2" s="30"/>
      <c r="G2" s="30"/>
      <c r="H2" s="30"/>
    </row>
    <row r="4" ht="34.5" customHeight="1">
      <c r="A4" s="112" t="s">
        <v>60</v>
      </c>
      <c r="B4" s="112" t="s">
        <v>61</v>
      </c>
      <c r="C4" s="112" t="s">
        <v>62</v>
      </c>
      <c r="D4" s="112" t="s">
        <v>63</v>
      </c>
      <c r="E4" s="112" t="s">
        <v>64</v>
      </c>
      <c r="F4" s="112" t="s">
        <v>65</v>
      </c>
      <c r="G4" s="112" t="s">
        <v>66</v>
      </c>
      <c r="H4" s="112" t="s">
        <v>67</v>
      </c>
    </row>
    <row r="5">
      <c r="A5" s="113">
        <v>1.0</v>
      </c>
      <c r="B5" s="37" t="s">
        <v>68</v>
      </c>
      <c r="C5" s="37"/>
      <c r="D5" s="37"/>
      <c r="E5" s="37"/>
      <c r="F5" s="37"/>
      <c r="G5" s="37"/>
      <c r="H5" s="37"/>
    </row>
    <row r="6">
      <c r="A6" s="113">
        <v>2.0</v>
      </c>
      <c r="B6" s="37" t="s">
        <v>51</v>
      </c>
      <c r="C6" s="37"/>
      <c r="D6" s="37"/>
      <c r="E6" s="37"/>
      <c r="F6" s="37"/>
      <c r="G6" s="37"/>
      <c r="H6" s="37"/>
    </row>
    <row r="7">
      <c r="A7" s="113">
        <v>3.0</v>
      </c>
      <c r="B7" s="37" t="s">
        <v>69</v>
      </c>
      <c r="C7" s="37"/>
      <c r="D7" s="37"/>
      <c r="E7" s="37"/>
      <c r="F7" s="37"/>
      <c r="G7" s="37"/>
      <c r="H7" s="37"/>
    </row>
    <row r="8">
      <c r="A8" s="113">
        <v>4.0</v>
      </c>
      <c r="B8" s="37" t="s">
        <v>70</v>
      </c>
      <c r="C8" s="37"/>
      <c r="D8" s="37"/>
      <c r="E8" s="37"/>
      <c r="F8" s="37"/>
      <c r="G8" s="37"/>
      <c r="H8" s="37"/>
    </row>
    <row r="9">
      <c r="A9" s="113">
        <v>5.0</v>
      </c>
      <c r="B9" s="37" t="s">
        <v>71</v>
      </c>
      <c r="C9" s="37"/>
      <c r="D9" s="37"/>
      <c r="E9" s="37"/>
      <c r="F9" s="37"/>
      <c r="G9" s="37"/>
      <c r="H9" s="37"/>
    </row>
    <row r="10">
      <c r="A10" s="113">
        <v>6.0</v>
      </c>
      <c r="B10" s="37"/>
      <c r="C10" s="37"/>
      <c r="D10" s="37"/>
      <c r="E10" s="37"/>
      <c r="F10" s="37"/>
      <c r="G10" s="37"/>
      <c r="H10" s="37"/>
    </row>
    <row r="11">
      <c r="A11" s="113">
        <v>7.0</v>
      </c>
      <c r="B11" s="37"/>
      <c r="C11" s="37"/>
      <c r="D11" s="37"/>
      <c r="E11" s="37"/>
      <c r="F11" s="37"/>
      <c r="G11" s="37"/>
      <c r="H11" s="37"/>
    </row>
    <row r="12">
      <c r="A12" s="113">
        <v>8.0</v>
      </c>
      <c r="B12" s="37"/>
      <c r="C12" s="37"/>
      <c r="D12" s="37"/>
      <c r="E12" s="37"/>
      <c r="F12" s="37"/>
      <c r="G12" s="37"/>
      <c r="H12" s="37"/>
    </row>
    <row r="13">
      <c r="A13" s="113">
        <v>9.0</v>
      </c>
      <c r="B13" s="37"/>
      <c r="C13" s="37"/>
      <c r="D13" s="37"/>
      <c r="E13" s="37"/>
      <c r="F13" s="37"/>
      <c r="G13" s="37"/>
      <c r="H13" s="37"/>
    </row>
    <row r="14">
      <c r="A14" s="113">
        <v>10.0</v>
      </c>
      <c r="B14" s="37"/>
      <c r="C14" s="37"/>
      <c r="D14" s="37"/>
      <c r="E14" s="37"/>
      <c r="F14" s="37"/>
      <c r="G14" s="37"/>
      <c r="H14" s="37"/>
    </row>
    <row r="15">
      <c r="A15" s="113">
        <v>11.0</v>
      </c>
      <c r="B15" s="37"/>
      <c r="C15" s="37"/>
      <c r="D15" s="37"/>
      <c r="E15" s="37"/>
      <c r="F15" s="37"/>
      <c r="G15" s="37"/>
      <c r="H15" s="37"/>
    </row>
    <row r="16">
      <c r="A16" s="113">
        <v>12.0</v>
      </c>
      <c r="B16" s="37"/>
      <c r="C16" s="37"/>
      <c r="D16" s="37"/>
      <c r="E16" s="37"/>
      <c r="F16" s="37"/>
      <c r="G16" s="37"/>
      <c r="H16" s="37"/>
    </row>
    <row r="17">
      <c r="A17" s="113">
        <v>13.0</v>
      </c>
      <c r="B17" s="37"/>
      <c r="C17" s="37"/>
      <c r="D17" s="37"/>
      <c r="E17" s="37"/>
      <c r="F17" s="37"/>
      <c r="G17" s="37"/>
      <c r="H17" s="37"/>
    </row>
    <row r="18">
      <c r="A18" s="113">
        <v>14.0</v>
      </c>
      <c r="B18" s="37"/>
      <c r="C18" s="37"/>
      <c r="D18" s="37"/>
      <c r="E18" s="37"/>
      <c r="F18" s="37"/>
      <c r="G18" s="37"/>
      <c r="H18" s="37"/>
    </row>
    <row r="19">
      <c r="A19" s="113">
        <v>15.0</v>
      </c>
      <c r="B19" s="37"/>
      <c r="C19" s="37"/>
      <c r="D19" s="37"/>
      <c r="E19" s="37"/>
      <c r="F19" s="37"/>
      <c r="G19" s="37"/>
      <c r="H19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7.43"/>
    <col customWidth="1" min="4" max="4" width="26.43"/>
    <col customWidth="1" min="5" max="6" width="17.43"/>
  </cols>
  <sheetData>
    <row r="1" ht="25.5" customHeight="1">
      <c r="A1" s="114" t="s">
        <v>72</v>
      </c>
      <c r="B1" s="114" t="s">
        <v>73</v>
      </c>
      <c r="C1" s="114" t="s">
        <v>74</v>
      </c>
      <c r="D1" s="114" t="s">
        <v>75</v>
      </c>
      <c r="E1" s="114" t="s">
        <v>76</v>
      </c>
      <c r="F1" s="114" t="s">
        <v>77</v>
      </c>
    </row>
    <row r="2" ht="18.0" customHeight="1">
      <c r="A2" s="115">
        <v>45954.0</v>
      </c>
      <c r="B2" s="116" t="s">
        <v>78</v>
      </c>
      <c r="C2" s="117">
        <v>45931.0</v>
      </c>
      <c r="D2" s="116" t="s">
        <v>79</v>
      </c>
      <c r="E2" s="118" t="str">
        <f>HYPERLINK("https://docs.google.com/spreadsheets/d/1NIdp7frlf8NtL_e59oxpumQMqXO6z8RNSkz1gsWrRjA/edit","Abrir")</f>
        <v>Abrir</v>
      </c>
      <c r="F2" s="116" t="s">
        <v>80</v>
      </c>
    </row>
    <row r="3">
      <c r="A3" s="115"/>
      <c r="B3" s="116"/>
      <c r="C3" s="117"/>
      <c r="D3" s="116"/>
      <c r="E3" s="116"/>
      <c r="F3" s="116"/>
    </row>
    <row r="4">
      <c r="A4" s="116"/>
      <c r="B4" s="116"/>
      <c r="C4" s="116"/>
      <c r="D4" s="116"/>
      <c r="E4" s="116"/>
      <c r="F4" s="116"/>
    </row>
    <row r="5">
      <c r="A5" s="116"/>
      <c r="B5" s="116"/>
      <c r="C5" s="116"/>
      <c r="D5" s="116"/>
      <c r="E5" s="116"/>
      <c r="F5" s="116"/>
    </row>
    <row r="6">
      <c r="A6" s="116"/>
      <c r="B6" s="116"/>
      <c r="C6" s="116"/>
      <c r="D6" s="116"/>
      <c r="E6" s="116"/>
      <c r="F6" s="116"/>
    </row>
    <row r="7">
      <c r="A7" s="116"/>
      <c r="B7" s="116"/>
      <c r="C7" s="116"/>
      <c r="D7" s="116"/>
      <c r="E7" s="116"/>
      <c r="F7" s="116"/>
    </row>
    <row r="8">
      <c r="A8" s="116"/>
      <c r="B8" s="116"/>
      <c r="C8" s="116"/>
      <c r="D8" s="116"/>
      <c r="E8" s="116"/>
      <c r="F8" s="116"/>
    </row>
    <row r="9">
      <c r="A9" s="116"/>
      <c r="B9" s="116"/>
      <c r="C9" s="116"/>
      <c r="D9" s="116"/>
      <c r="E9" s="116"/>
      <c r="F9" s="116"/>
    </row>
    <row r="10">
      <c r="A10" s="116"/>
      <c r="B10" s="116"/>
      <c r="C10" s="116"/>
      <c r="D10" s="116"/>
      <c r="E10" s="116"/>
      <c r="F10" s="116"/>
    </row>
    <row r="11">
      <c r="A11" s="116"/>
      <c r="B11" s="116"/>
      <c r="C11" s="116"/>
      <c r="D11" s="116"/>
      <c r="E11" s="116"/>
      <c r="F11" s="116"/>
    </row>
    <row r="12">
      <c r="A12" s="116"/>
      <c r="B12" s="116"/>
      <c r="C12" s="116"/>
      <c r="D12" s="116"/>
      <c r="E12" s="116"/>
      <c r="F12" s="116"/>
    </row>
    <row r="13">
      <c r="A13" s="116"/>
      <c r="B13" s="116"/>
      <c r="C13" s="116"/>
      <c r="D13" s="116"/>
      <c r="E13" s="116"/>
      <c r="F13" s="116"/>
    </row>
    <row r="14">
      <c r="A14" s="116"/>
      <c r="B14" s="116"/>
      <c r="C14" s="116"/>
      <c r="D14" s="116"/>
      <c r="E14" s="116"/>
      <c r="F14" s="116"/>
    </row>
    <row r="15">
      <c r="A15" s="116"/>
      <c r="B15" s="116"/>
      <c r="C15" s="116"/>
      <c r="D15" s="116"/>
      <c r="E15" s="116"/>
      <c r="F15" s="116"/>
    </row>
    <row r="16">
      <c r="A16" s="116"/>
      <c r="B16" s="116"/>
      <c r="C16" s="116"/>
      <c r="D16" s="116"/>
      <c r="E16" s="116"/>
      <c r="F16" s="116"/>
    </row>
    <row r="17">
      <c r="A17" s="116"/>
      <c r="B17" s="116"/>
      <c r="C17" s="116"/>
      <c r="D17" s="116"/>
      <c r="E17" s="116"/>
      <c r="F17" s="116"/>
    </row>
    <row r="18">
      <c r="A18" s="116"/>
      <c r="B18" s="116"/>
      <c r="C18" s="116"/>
      <c r="D18" s="116"/>
      <c r="E18" s="116"/>
      <c r="F18" s="116"/>
    </row>
    <row r="19">
      <c r="A19" s="116"/>
      <c r="B19" s="116"/>
      <c r="C19" s="116"/>
      <c r="D19" s="116"/>
      <c r="E19" s="116"/>
      <c r="F19" s="116"/>
    </row>
    <row r="20">
      <c r="A20" s="116"/>
      <c r="B20" s="116"/>
      <c r="C20" s="116"/>
      <c r="D20" s="116"/>
      <c r="E20" s="116"/>
      <c r="F20" s="116"/>
    </row>
    <row r="21" ht="15.75" customHeight="1">
      <c r="A21" s="116"/>
      <c r="B21" s="116"/>
      <c r="C21" s="116"/>
      <c r="D21" s="116"/>
      <c r="E21" s="116"/>
      <c r="F21" s="116"/>
    </row>
    <row r="22" ht="15.75" customHeight="1">
      <c r="A22" s="116"/>
      <c r="B22" s="116"/>
      <c r="C22" s="116"/>
      <c r="D22" s="116"/>
      <c r="E22" s="116"/>
      <c r="F22" s="116"/>
    </row>
    <row r="23" ht="15.75" customHeight="1">
      <c r="A23" s="116"/>
      <c r="B23" s="116"/>
      <c r="C23" s="116"/>
      <c r="D23" s="116"/>
      <c r="E23" s="116"/>
      <c r="F23" s="116"/>
    </row>
    <row r="24" ht="15.75" customHeight="1">
      <c r="A24" s="116"/>
      <c r="B24" s="116"/>
      <c r="C24" s="116"/>
      <c r="D24" s="116"/>
      <c r="E24" s="116"/>
      <c r="F24" s="116"/>
    </row>
    <row r="25" ht="15.75" customHeight="1">
      <c r="A25" s="116"/>
      <c r="B25" s="116"/>
      <c r="C25" s="116"/>
      <c r="D25" s="116"/>
      <c r="E25" s="116"/>
      <c r="F25" s="116"/>
    </row>
    <row r="26" ht="15.75" customHeight="1">
      <c r="A26" s="116"/>
      <c r="B26" s="116"/>
      <c r="C26" s="116"/>
      <c r="D26" s="116"/>
      <c r="E26" s="116"/>
      <c r="F26" s="116"/>
    </row>
    <row r="27" ht="15.75" customHeight="1">
      <c r="A27" s="116"/>
      <c r="B27" s="116"/>
      <c r="C27" s="116"/>
      <c r="D27" s="116"/>
      <c r="E27" s="116"/>
      <c r="F27" s="116"/>
    </row>
    <row r="28" ht="15.75" customHeight="1">
      <c r="A28" s="116"/>
      <c r="B28" s="116"/>
      <c r="C28" s="116"/>
      <c r="D28" s="116"/>
      <c r="E28" s="116"/>
      <c r="F28" s="116"/>
    </row>
    <row r="29" ht="15.75" customHeight="1">
      <c r="A29" s="116"/>
      <c r="B29" s="116"/>
      <c r="C29" s="116"/>
      <c r="D29" s="116"/>
      <c r="E29" s="116"/>
      <c r="F29" s="116"/>
    </row>
    <row r="30" ht="15.75" customHeight="1">
      <c r="A30" s="116"/>
      <c r="B30" s="116"/>
      <c r="C30" s="116"/>
      <c r="D30" s="116"/>
      <c r="E30" s="116"/>
      <c r="F30" s="116"/>
    </row>
    <row r="31" ht="15.75" customHeight="1">
      <c r="A31" s="116"/>
      <c r="B31" s="116"/>
      <c r="C31" s="116"/>
      <c r="D31" s="116"/>
      <c r="E31" s="116"/>
      <c r="F31" s="116"/>
    </row>
    <row r="32" ht="15.75" customHeight="1">
      <c r="A32" s="116"/>
      <c r="B32" s="116"/>
      <c r="C32" s="116"/>
      <c r="D32" s="116"/>
      <c r="E32" s="116"/>
      <c r="F32" s="116"/>
    </row>
    <row r="33" ht="15.75" customHeight="1">
      <c r="A33" s="116"/>
      <c r="B33" s="116"/>
      <c r="C33" s="116"/>
      <c r="D33" s="116"/>
      <c r="E33" s="116"/>
      <c r="F33" s="116"/>
    </row>
    <row r="34" ht="15.75" customHeight="1">
      <c r="A34" s="116"/>
      <c r="B34" s="116"/>
      <c r="C34" s="116"/>
      <c r="D34" s="116"/>
      <c r="E34" s="116"/>
      <c r="F34" s="116"/>
    </row>
    <row r="35" ht="15.75" customHeight="1">
      <c r="A35" s="116"/>
      <c r="B35" s="116"/>
      <c r="C35" s="116"/>
      <c r="D35" s="116"/>
      <c r="E35" s="116"/>
      <c r="F35" s="116"/>
    </row>
    <row r="36" ht="15.75" customHeight="1">
      <c r="A36" s="116"/>
      <c r="B36" s="116"/>
      <c r="C36" s="116"/>
      <c r="D36" s="116"/>
      <c r="E36" s="116"/>
      <c r="F36" s="116"/>
    </row>
    <row r="37" ht="15.75" customHeight="1">
      <c r="A37" s="116"/>
      <c r="B37" s="116"/>
      <c r="C37" s="116"/>
      <c r="D37" s="116"/>
      <c r="E37" s="116"/>
      <c r="F37" s="116"/>
    </row>
    <row r="38" ht="15.75" customHeight="1">
      <c r="A38" s="116"/>
      <c r="B38" s="116"/>
      <c r="C38" s="116"/>
      <c r="D38" s="116"/>
      <c r="E38" s="116"/>
      <c r="F38" s="116"/>
    </row>
    <row r="39" ht="15.75" customHeight="1">
      <c r="A39" s="116"/>
      <c r="B39" s="116"/>
      <c r="C39" s="116"/>
      <c r="D39" s="116"/>
      <c r="E39" s="116"/>
      <c r="F39" s="116"/>
    </row>
    <row r="40" ht="15.75" customHeight="1">
      <c r="A40" s="116"/>
      <c r="B40" s="116"/>
      <c r="C40" s="116"/>
      <c r="D40" s="116"/>
      <c r="E40" s="116"/>
      <c r="F40" s="116"/>
    </row>
    <row r="41" ht="15.75" customHeight="1">
      <c r="A41" s="116"/>
      <c r="B41" s="116"/>
      <c r="C41" s="116"/>
      <c r="D41" s="116"/>
      <c r="E41" s="116"/>
      <c r="F41" s="116"/>
    </row>
    <row r="42" ht="15.75" customHeight="1">
      <c r="A42" s="116"/>
      <c r="B42" s="116"/>
      <c r="C42" s="116"/>
      <c r="D42" s="116"/>
      <c r="E42" s="116"/>
      <c r="F42" s="116"/>
    </row>
    <row r="43" ht="15.75" customHeight="1">
      <c r="A43" s="116"/>
      <c r="B43" s="116"/>
      <c r="C43" s="116"/>
      <c r="D43" s="116"/>
      <c r="E43" s="116"/>
      <c r="F43" s="116"/>
    </row>
    <row r="44" ht="15.75" customHeight="1">
      <c r="A44" s="116"/>
      <c r="B44" s="116"/>
      <c r="C44" s="116"/>
      <c r="D44" s="116"/>
      <c r="E44" s="116"/>
      <c r="F44" s="116"/>
    </row>
    <row r="45" ht="15.75" customHeight="1">
      <c r="A45" s="116"/>
      <c r="B45" s="116"/>
      <c r="C45" s="116"/>
      <c r="D45" s="116"/>
      <c r="E45" s="116"/>
      <c r="F45" s="116"/>
    </row>
    <row r="46" ht="15.75" customHeight="1">
      <c r="A46" s="116"/>
      <c r="B46" s="116"/>
      <c r="C46" s="116"/>
      <c r="D46" s="116"/>
      <c r="E46" s="116"/>
      <c r="F46" s="116"/>
    </row>
    <row r="47" ht="15.75" customHeight="1">
      <c r="A47" s="116"/>
      <c r="B47" s="116"/>
      <c r="C47" s="116"/>
      <c r="D47" s="116"/>
      <c r="E47" s="116"/>
      <c r="F47" s="116"/>
    </row>
    <row r="48" ht="15.75" customHeight="1">
      <c r="A48" s="116"/>
      <c r="B48" s="116"/>
      <c r="C48" s="116"/>
      <c r="D48" s="116"/>
      <c r="E48" s="116"/>
      <c r="F48" s="116"/>
    </row>
    <row r="49" ht="15.75" customHeight="1">
      <c r="A49" s="116"/>
      <c r="B49" s="116"/>
      <c r="C49" s="116"/>
      <c r="D49" s="116"/>
      <c r="E49" s="116"/>
      <c r="F49" s="116"/>
    </row>
    <row r="50" ht="15.75" customHeight="1">
      <c r="A50" s="116"/>
      <c r="B50" s="116"/>
      <c r="C50" s="116"/>
      <c r="D50" s="116"/>
      <c r="E50" s="116"/>
      <c r="F50" s="116"/>
    </row>
    <row r="51" ht="15.75" customHeight="1">
      <c r="A51" s="116"/>
      <c r="B51" s="116"/>
      <c r="C51" s="116"/>
      <c r="D51" s="116"/>
      <c r="E51" s="116"/>
      <c r="F51" s="116"/>
    </row>
    <row r="52" ht="15.75" customHeight="1">
      <c r="A52" s="116"/>
      <c r="B52" s="116"/>
      <c r="C52" s="116"/>
      <c r="D52" s="116"/>
      <c r="E52" s="116"/>
      <c r="F52" s="116"/>
    </row>
    <row r="53" ht="15.75" customHeight="1">
      <c r="A53" s="116"/>
      <c r="B53" s="116"/>
      <c r="C53" s="116"/>
      <c r="D53" s="116"/>
      <c r="E53" s="116"/>
      <c r="F53" s="116"/>
    </row>
    <row r="54" ht="15.75" customHeight="1">
      <c r="A54" s="116"/>
      <c r="B54" s="116"/>
      <c r="C54" s="116"/>
      <c r="D54" s="116"/>
      <c r="E54" s="116"/>
      <c r="F54" s="116"/>
    </row>
    <row r="55" ht="15.75" customHeight="1">
      <c r="A55" s="116"/>
      <c r="B55" s="116"/>
      <c r="C55" s="116"/>
      <c r="D55" s="116"/>
      <c r="E55" s="116"/>
      <c r="F55" s="116"/>
    </row>
    <row r="56" ht="15.75" customHeight="1">
      <c r="A56" s="116"/>
      <c r="B56" s="116"/>
      <c r="C56" s="116"/>
      <c r="D56" s="116"/>
      <c r="E56" s="116"/>
      <c r="F56" s="116"/>
    </row>
    <row r="57" ht="15.75" customHeight="1">
      <c r="A57" s="116"/>
      <c r="B57" s="116"/>
      <c r="C57" s="116"/>
      <c r="D57" s="116"/>
      <c r="E57" s="116"/>
      <c r="F57" s="116"/>
    </row>
    <row r="58" ht="15.75" customHeight="1">
      <c r="A58" s="116"/>
      <c r="B58" s="116"/>
      <c r="C58" s="116"/>
      <c r="D58" s="116"/>
      <c r="E58" s="116"/>
      <c r="F58" s="116"/>
    </row>
    <row r="59" ht="15.75" customHeight="1">
      <c r="A59" s="116"/>
      <c r="B59" s="116"/>
      <c r="C59" s="116"/>
      <c r="D59" s="116"/>
      <c r="E59" s="116"/>
      <c r="F59" s="116"/>
    </row>
    <row r="60" ht="15.75" customHeight="1">
      <c r="A60" s="116"/>
      <c r="B60" s="116"/>
      <c r="C60" s="116"/>
      <c r="D60" s="116"/>
      <c r="E60" s="116"/>
      <c r="F60" s="116"/>
    </row>
    <row r="61" ht="15.75" customHeight="1">
      <c r="A61" s="116"/>
      <c r="B61" s="116"/>
      <c r="C61" s="116"/>
      <c r="D61" s="116"/>
      <c r="E61" s="116"/>
      <c r="F61" s="116"/>
    </row>
    <row r="62" ht="15.75" customHeight="1">
      <c r="A62" s="116"/>
      <c r="B62" s="116"/>
      <c r="C62" s="116"/>
      <c r="D62" s="116"/>
      <c r="E62" s="116"/>
      <c r="F62" s="116"/>
    </row>
    <row r="63" ht="15.75" customHeight="1">
      <c r="A63" s="116"/>
      <c r="B63" s="116"/>
      <c r="C63" s="116"/>
      <c r="D63" s="116"/>
      <c r="E63" s="116"/>
      <c r="F63" s="116"/>
    </row>
    <row r="64" ht="15.75" customHeight="1">
      <c r="A64" s="116"/>
      <c r="B64" s="116"/>
      <c r="C64" s="116"/>
      <c r="D64" s="116"/>
      <c r="E64" s="116"/>
      <c r="F64" s="116"/>
    </row>
    <row r="65" ht="15.75" customHeight="1">
      <c r="A65" s="116"/>
      <c r="B65" s="116"/>
      <c r="C65" s="116"/>
      <c r="D65" s="116"/>
      <c r="E65" s="116"/>
      <c r="F65" s="116"/>
    </row>
    <row r="66" ht="15.75" customHeight="1">
      <c r="A66" s="116"/>
      <c r="B66" s="116"/>
      <c r="C66" s="116"/>
      <c r="D66" s="116"/>
      <c r="E66" s="116"/>
      <c r="F66" s="116"/>
    </row>
    <row r="67" ht="15.75" customHeight="1">
      <c r="A67" s="116"/>
      <c r="B67" s="116"/>
      <c r="C67" s="116"/>
      <c r="D67" s="116"/>
      <c r="E67" s="116"/>
      <c r="F67" s="116"/>
    </row>
    <row r="68" ht="15.75" customHeight="1">
      <c r="A68" s="116"/>
      <c r="B68" s="116"/>
      <c r="C68" s="116"/>
      <c r="D68" s="116"/>
      <c r="E68" s="116"/>
      <c r="F68" s="116"/>
    </row>
    <row r="69" ht="15.75" customHeight="1">
      <c r="A69" s="116"/>
      <c r="B69" s="116"/>
      <c r="C69" s="116"/>
      <c r="D69" s="116"/>
      <c r="E69" s="116"/>
      <c r="F69" s="116"/>
    </row>
    <row r="70" ht="15.75" customHeight="1">
      <c r="A70" s="116"/>
      <c r="B70" s="116"/>
      <c r="C70" s="116"/>
      <c r="D70" s="116"/>
      <c r="E70" s="116"/>
      <c r="F70" s="116"/>
    </row>
    <row r="71" ht="15.75" customHeight="1">
      <c r="A71" s="116"/>
      <c r="B71" s="116"/>
      <c r="C71" s="116"/>
      <c r="D71" s="116"/>
      <c r="E71" s="116"/>
      <c r="F71" s="116"/>
    </row>
    <row r="72" ht="15.75" customHeight="1">
      <c r="A72" s="116"/>
      <c r="B72" s="116"/>
      <c r="C72" s="116"/>
      <c r="D72" s="116"/>
      <c r="E72" s="116"/>
      <c r="F72" s="116"/>
    </row>
    <row r="73" ht="15.75" customHeight="1">
      <c r="A73" s="116"/>
      <c r="B73" s="116"/>
      <c r="C73" s="116"/>
      <c r="D73" s="116"/>
      <c r="E73" s="116"/>
      <c r="F73" s="116"/>
    </row>
    <row r="74" ht="15.75" customHeight="1">
      <c r="A74" s="116"/>
      <c r="B74" s="116"/>
      <c r="C74" s="116"/>
      <c r="D74" s="116"/>
      <c r="E74" s="116"/>
      <c r="F74" s="116"/>
    </row>
    <row r="75" ht="15.75" customHeight="1">
      <c r="A75" s="116"/>
      <c r="B75" s="116"/>
      <c r="C75" s="116"/>
      <c r="D75" s="116"/>
      <c r="E75" s="116"/>
      <c r="F75" s="116"/>
    </row>
    <row r="76" ht="15.75" customHeight="1">
      <c r="A76" s="116"/>
      <c r="B76" s="116"/>
      <c r="C76" s="116"/>
      <c r="D76" s="116"/>
      <c r="E76" s="116"/>
      <c r="F76" s="116"/>
    </row>
    <row r="77" ht="15.75" customHeight="1">
      <c r="A77" s="116"/>
      <c r="B77" s="116"/>
      <c r="C77" s="116"/>
      <c r="D77" s="116"/>
      <c r="E77" s="116"/>
      <c r="F77" s="116"/>
    </row>
    <row r="78" ht="15.75" customHeight="1">
      <c r="A78" s="116"/>
      <c r="B78" s="116"/>
      <c r="C78" s="116"/>
      <c r="D78" s="116"/>
      <c r="E78" s="116"/>
      <c r="F78" s="116"/>
    </row>
    <row r="79" ht="15.75" customHeight="1">
      <c r="A79" s="116"/>
      <c r="B79" s="116"/>
      <c r="C79" s="116"/>
      <c r="D79" s="116"/>
      <c r="E79" s="116"/>
      <c r="F79" s="116"/>
    </row>
    <row r="80" ht="15.75" customHeight="1">
      <c r="A80" s="116"/>
      <c r="B80" s="116"/>
      <c r="C80" s="116"/>
      <c r="D80" s="116"/>
      <c r="E80" s="116"/>
      <c r="F80" s="116"/>
    </row>
    <row r="81" ht="15.75" customHeight="1">
      <c r="A81" s="116"/>
      <c r="B81" s="116"/>
      <c r="C81" s="116"/>
      <c r="D81" s="116"/>
      <c r="E81" s="116"/>
      <c r="F81" s="116"/>
    </row>
    <row r="82" ht="15.75" customHeight="1">
      <c r="A82" s="116"/>
      <c r="B82" s="116"/>
      <c r="C82" s="116"/>
      <c r="D82" s="116"/>
      <c r="E82" s="116"/>
      <c r="F82" s="116"/>
    </row>
    <row r="83" ht="15.75" customHeight="1">
      <c r="A83" s="116"/>
      <c r="B83" s="116"/>
      <c r="C83" s="116"/>
      <c r="D83" s="116"/>
      <c r="E83" s="116"/>
      <c r="F83" s="116"/>
    </row>
    <row r="84" ht="15.75" customHeight="1">
      <c r="A84" s="116"/>
      <c r="B84" s="116"/>
      <c r="C84" s="116"/>
      <c r="D84" s="116"/>
      <c r="E84" s="116"/>
      <c r="F84" s="116"/>
    </row>
    <row r="85" ht="15.75" customHeight="1">
      <c r="A85" s="116"/>
      <c r="B85" s="116"/>
      <c r="C85" s="116"/>
      <c r="D85" s="116"/>
      <c r="E85" s="116"/>
      <c r="F85" s="116"/>
    </row>
    <row r="86" ht="15.75" customHeight="1">
      <c r="A86" s="116"/>
      <c r="B86" s="116"/>
      <c r="C86" s="116"/>
      <c r="D86" s="116"/>
      <c r="E86" s="116"/>
      <c r="F86" s="116"/>
    </row>
    <row r="87" ht="15.75" customHeight="1">
      <c r="A87" s="116"/>
      <c r="B87" s="116"/>
      <c r="C87" s="116"/>
      <c r="D87" s="116"/>
      <c r="E87" s="116"/>
      <c r="F87" s="116"/>
    </row>
    <row r="88" ht="15.75" customHeight="1">
      <c r="A88" s="116"/>
      <c r="B88" s="116"/>
      <c r="C88" s="116"/>
      <c r="D88" s="116"/>
      <c r="E88" s="116"/>
      <c r="F88" s="116"/>
    </row>
    <row r="89" ht="15.75" customHeight="1">
      <c r="A89" s="116"/>
      <c r="B89" s="116"/>
      <c r="C89" s="116"/>
      <c r="D89" s="116"/>
      <c r="E89" s="116"/>
      <c r="F89" s="116"/>
    </row>
    <row r="90" ht="15.75" customHeight="1">
      <c r="A90" s="116"/>
      <c r="B90" s="116"/>
      <c r="C90" s="116"/>
      <c r="D90" s="116"/>
      <c r="E90" s="116"/>
      <c r="F90" s="116"/>
    </row>
    <row r="91" ht="15.75" customHeight="1">
      <c r="A91" s="116"/>
      <c r="B91" s="116"/>
      <c r="C91" s="116"/>
      <c r="D91" s="116"/>
      <c r="E91" s="116"/>
      <c r="F91" s="116"/>
    </row>
    <row r="92" ht="15.75" customHeight="1">
      <c r="A92" s="116"/>
      <c r="B92" s="116"/>
      <c r="C92" s="116"/>
      <c r="D92" s="116"/>
      <c r="E92" s="116"/>
      <c r="F92" s="116"/>
    </row>
    <row r="93" ht="15.75" customHeight="1">
      <c r="A93" s="116"/>
      <c r="B93" s="116"/>
      <c r="C93" s="116"/>
      <c r="D93" s="116"/>
      <c r="E93" s="116"/>
      <c r="F93" s="116"/>
    </row>
    <row r="94" ht="15.75" customHeight="1">
      <c r="A94" s="116"/>
      <c r="B94" s="116"/>
      <c r="C94" s="116"/>
      <c r="D94" s="116"/>
      <c r="E94" s="116"/>
      <c r="F94" s="116"/>
    </row>
    <row r="95" ht="15.75" customHeight="1">
      <c r="A95" s="116"/>
      <c r="B95" s="116"/>
      <c r="C95" s="116"/>
      <c r="D95" s="116"/>
      <c r="E95" s="116"/>
      <c r="F95" s="116"/>
    </row>
    <row r="96" ht="15.75" customHeight="1">
      <c r="A96" s="116"/>
      <c r="B96" s="116"/>
      <c r="C96" s="116"/>
      <c r="D96" s="116"/>
      <c r="E96" s="116"/>
      <c r="F96" s="116"/>
    </row>
    <row r="97" ht="15.75" customHeight="1">
      <c r="A97" s="116"/>
      <c r="B97" s="116"/>
      <c r="C97" s="116"/>
      <c r="D97" s="116"/>
      <c r="E97" s="116"/>
      <c r="F97" s="116"/>
    </row>
    <row r="98" ht="15.75" customHeight="1">
      <c r="A98" s="116"/>
      <c r="B98" s="116"/>
      <c r="C98" s="116"/>
      <c r="D98" s="116"/>
      <c r="E98" s="116"/>
      <c r="F98" s="116"/>
    </row>
    <row r="99" ht="15.75" customHeight="1">
      <c r="A99" s="116"/>
      <c r="B99" s="116"/>
      <c r="C99" s="116"/>
      <c r="D99" s="116"/>
      <c r="E99" s="116"/>
      <c r="F99" s="116"/>
    </row>
    <row r="100" ht="15.75" customHeight="1">
      <c r="A100" s="116"/>
      <c r="B100" s="116"/>
      <c r="C100" s="116"/>
      <c r="D100" s="116"/>
      <c r="E100" s="116"/>
      <c r="F100" s="116"/>
    </row>
    <row r="101" ht="15.75" customHeight="1">
      <c r="A101" s="116"/>
      <c r="B101" s="116"/>
      <c r="C101" s="116"/>
      <c r="D101" s="116"/>
      <c r="E101" s="116"/>
      <c r="F101" s="116"/>
    </row>
    <row r="102" ht="15.75" customHeight="1">
      <c r="A102" s="116"/>
      <c r="B102" s="116"/>
      <c r="C102" s="116"/>
      <c r="D102" s="116"/>
      <c r="E102" s="116"/>
      <c r="F102" s="116"/>
    </row>
    <row r="103" ht="15.75" customHeight="1">
      <c r="A103" s="116"/>
      <c r="B103" s="116"/>
      <c r="C103" s="116"/>
      <c r="D103" s="116"/>
      <c r="E103" s="116"/>
      <c r="F103" s="116"/>
    </row>
    <row r="104" ht="15.75" customHeight="1">
      <c r="A104" s="116"/>
      <c r="B104" s="116"/>
      <c r="C104" s="116"/>
      <c r="D104" s="116"/>
      <c r="E104" s="116"/>
      <c r="F104" s="116"/>
    </row>
    <row r="105" ht="15.75" customHeight="1">
      <c r="A105" s="116"/>
      <c r="B105" s="116"/>
      <c r="C105" s="116"/>
      <c r="D105" s="116"/>
      <c r="E105" s="116"/>
      <c r="F105" s="116"/>
    </row>
    <row r="106" ht="15.75" customHeight="1">
      <c r="A106" s="116"/>
      <c r="B106" s="116"/>
      <c r="C106" s="116"/>
      <c r="D106" s="116"/>
      <c r="E106" s="116"/>
      <c r="F106" s="116"/>
    </row>
    <row r="107" ht="15.75" customHeight="1">
      <c r="A107" s="116"/>
      <c r="B107" s="116"/>
      <c r="C107" s="116"/>
      <c r="D107" s="116"/>
      <c r="E107" s="116"/>
      <c r="F107" s="116"/>
    </row>
    <row r="108" ht="15.75" customHeight="1">
      <c r="A108" s="116"/>
      <c r="B108" s="116"/>
      <c r="C108" s="116"/>
      <c r="D108" s="116"/>
      <c r="E108" s="116"/>
      <c r="F108" s="116"/>
    </row>
    <row r="109" ht="15.75" customHeight="1">
      <c r="A109" s="116"/>
      <c r="B109" s="116"/>
      <c r="C109" s="116"/>
      <c r="D109" s="116"/>
      <c r="E109" s="116"/>
      <c r="F109" s="116"/>
    </row>
    <row r="110" ht="15.75" customHeight="1">
      <c r="A110" s="116"/>
      <c r="B110" s="116"/>
      <c r="C110" s="116"/>
      <c r="D110" s="116"/>
      <c r="E110" s="116"/>
      <c r="F110" s="116"/>
    </row>
    <row r="111" ht="15.75" customHeight="1">
      <c r="A111" s="116"/>
      <c r="B111" s="116"/>
      <c r="C111" s="116"/>
      <c r="D111" s="116"/>
      <c r="E111" s="116"/>
      <c r="F111" s="116"/>
    </row>
    <row r="112" ht="15.75" customHeight="1">
      <c r="A112" s="116"/>
      <c r="B112" s="116"/>
      <c r="C112" s="116"/>
      <c r="D112" s="116"/>
      <c r="E112" s="116"/>
      <c r="F112" s="116"/>
    </row>
    <row r="113" ht="15.75" customHeight="1">
      <c r="A113" s="116"/>
      <c r="B113" s="116"/>
      <c r="C113" s="116"/>
      <c r="D113" s="116"/>
      <c r="E113" s="116"/>
      <c r="F113" s="116"/>
    </row>
    <row r="114" ht="15.75" customHeight="1">
      <c r="A114" s="116"/>
      <c r="B114" s="116"/>
      <c r="C114" s="116"/>
      <c r="D114" s="116"/>
      <c r="E114" s="116"/>
      <c r="F114" s="116"/>
    </row>
    <row r="115" ht="15.75" customHeight="1">
      <c r="A115" s="116"/>
      <c r="B115" s="116"/>
      <c r="C115" s="116"/>
      <c r="D115" s="116"/>
      <c r="E115" s="116"/>
      <c r="F115" s="116"/>
    </row>
    <row r="116" ht="15.75" customHeight="1">
      <c r="A116" s="116"/>
      <c r="B116" s="116"/>
      <c r="C116" s="116"/>
      <c r="D116" s="116"/>
      <c r="E116" s="116"/>
      <c r="F116" s="116"/>
    </row>
    <row r="117" ht="15.75" customHeight="1">
      <c r="A117" s="116"/>
      <c r="B117" s="116"/>
      <c r="C117" s="116"/>
      <c r="D117" s="116"/>
      <c r="E117" s="116"/>
      <c r="F117" s="116"/>
    </row>
    <row r="118" ht="15.75" customHeight="1">
      <c r="A118" s="116"/>
      <c r="B118" s="116"/>
      <c r="C118" s="116"/>
      <c r="D118" s="116"/>
      <c r="E118" s="116"/>
      <c r="F118" s="116"/>
    </row>
    <row r="119" ht="15.75" customHeight="1">
      <c r="A119" s="116"/>
      <c r="B119" s="116"/>
      <c r="C119" s="116"/>
      <c r="D119" s="116"/>
      <c r="E119" s="116"/>
      <c r="F119" s="116"/>
    </row>
    <row r="120" ht="15.75" customHeight="1">
      <c r="A120" s="116"/>
      <c r="B120" s="116"/>
      <c r="C120" s="116"/>
      <c r="D120" s="116"/>
      <c r="E120" s="116"/>
      <c r="F120" s="116"/>
    </row>
    <row r="121" ht="15.75" customHeight="1">
      <c r="A121" s="116"/>
      <c r="B121" s="116"/>
      <c r="C121" s="116"/>
      <c r="D121" s="116"/>
      <c r="E121" s="116"/>
      <c r="F121" s="116"/>
    </row>
    <row r="122" ht="15.75" customHeight="1">
      <c r="A122" s="116"/>
      <c r="B122" s="116"/>
      <c r="C122" s="116"/>
      <c r="D122" s="116"/>
      <c r="E122" s="116"/>
      <c r="F122" s="116"/>
    </row>
    <row r="123" ht="15.75" customHeight="1">
      <c r="A123" s="116"/>
      <c r="B123" s="116"/>
      <c r="C123" s="116"/>
      <c r="D123" s="116"/>
      <c r="E123" s="116"/>
      <c r="F123" s="116"/>
    </row>
    <row r="124" ht="15.75" customHeight="1">
      <c r="A124" s="116"/>
      <c r="B124" s="116"/>
      <c r="C124" s="116"/>
      <c r="D124" s="116"/>
      <c r="E124" s="116"/>
      <c r="F124" s="116"/>
    </row>
    <row r="125" ht="15.75" customHeight="1">
      <c r="A125" s="116"/>
      <c r="B125" s="116"/>
      <c r="C125" s="116"/>
      <c r="D125" s="116"/>
      <c r="E125" s="116"/>
      <c r="F125" s="116"/>
    </row>
    <row r="126" ht="15.75" customHeight="1">
      <c r="A126" s="116"/>
      <c r="B126" s="116"/>
      <c r="C126" s="116"/>
      <c r="D126" s="116"/>
      <c r="E126" s="116"/>
      <c r="F126" s="116"/>
    </row>
    <row r="127" ht="15.75" customHeight="1">
      <c r="A127" s="116"/>
      <c r="B127" s="116"/>
      <c r="C127" s="116"/>
      <c r="D127" s="116"/>
      <c r="E127" s="116"/>
      <c r="F127" s="116"/>
    </row>
    <row r="128" ht="15.75" customHeight="1">
      <c r="A128" s="116"/>
      <c r="B128" s="116"/>
      <c r="C128" s="116"/>
      <c r="D128" s="116"/>
      <c r="E128" s="116"/>
      <c r="F128" s="116"/>
    </row>
    <row r="129" ht="15.75" customHeight="1">
      <c r="A129" s="116"/>
      <c r="B129" s="116"/>
      <c r="C129" s="116"/>
      <c r="D129" s="116"/>
      <c r="E129" s="116"/>
      <c r="F129" s="116"/>
    </row>
    <row r="130" ht="15.75" customHeight="1">
      <c r="A130" s="116"/>
      <c r="B130" s="116"/>
      <c r="C130" s="116"/>
      <c r="D130" s="116"/>
      <c r="E130" s="116"/>
      <c r="F130" s="116"/>
    </row>
    <row r="131" ht="15.75" customHeight="1">
      <c r="A131" s="116"/>
      <c r="B131" s="116"/>
      <c r="C131" s="116"/>
      <c r="D131" s="116"/>
      <c r="E131" s="116"/>
      <c r="F131" s="116"/>
    </row>
    <row r="132" ht="15.75" customHeight="1">
      <c r="A132" s="116"/>
      <c r="B132" s="116"/>
      <c r="C132" s="116"/>
      <c r="D132" s="116"/>
      <c r="E132" s="116"/>
      <c r="F132" s="116"/>
    </row>
    <row r="133" ht="15.75" customHeight="1">
      <c r="A133" s="116"/>
      <c r="B133" s="116"/>
      <c r="C133" s="116"/>
      <c r="D133" s="116"/>
      <c r="E133" s="116"/>
      <c r="F133" s="116"/>
    </row>
    <row r="134" ht="15.75" customHeight="1">
      <c r="A134" s="116"/>
      <c r="B134" s="116"/>
      <c r="C134" s="116"/>
      <c r="D134" s="116"/>
      <c r="E134" s="116"/>
      <c r="F134" s="116"/>
    </row>
    <row r="135" ht="15.75" customHeight="1">
      <c r="A135" s="116"/>
      <c r="B135" s="116"/>
      <c r="C135" s="116"/>
      <c r="D135" s="116"/>
      <c r="E135" s="116"/>
      <c r="F135" s="116"/>
    </row>
    <row r="136" ht="15.75" customHeight="1">
      <c r="A136" s="116"/>
      <c r="B136" s="116"/>
      <c r="C136" s="116"/>
      <c r="D136" s="116"/>
      <c r="E136" s="116"/>
      <c r="F136" s="116"/>
    </row>
    <row r="137" ht="15.75" customHeight="1">
      <c r="A137" s="116"/>
      <c r="B137" s="116"/>
      <c r="C137" s="116"/>
      <c r="D137" s="116"/>
      <c r="E137" s="116"/>
      <c r="F137" s="116"/>
    </row>
    <row r="138" ht="15.75" customHeight="1">
      <c r="A138" s="116"/>
      <c r="B138" s="116"/>
      <c r="C138" s="116"/>
      <c r="D138" s="116"/>
      <c r="E138" s="116"/>
      <c r="F138" s="116"/>
    </row>
    <row r="139" ht="15.75" customHeight="1">
      <c r="A139" s="116"/>
      <c r="B139" s="116"/>
      <c r="C139" s="116"/>
      <c r="D139" s="116"/>
      <c r="E139" s="116"/>
      <c r="F139" s="116"/>
    </row>
    <row r="140" ht="15.75" customHeight="1">
      <c r="A140" s="116"/>
      <c r="B140" s="116"/>
      <c r="C140" s="116"/>
      <c r="D140" s="116"/>
      <c r="E140" s="116"/>
      <c r="F140" s="116"/>
    </row>
    <row r="141" ht="15.75" customHeight="1">
      <c r="A141" s="116"/>
      <c r="B141" s="116"/>
      <c r="C141" s="116"/>
      <c r="D141" s="116"/>
      <c r="E141" s="116"/>
      <c r="F141" s="116"/>
    </row>
    <row r="142" ht="15.75" customHeight="1">
      <c r="A142" s="116"/>
      <c r="B142" s="116"/>
      <c r="C142" s="116"/>
      <c r="D142" s="116"/>
      <c r="E142" s="116"/>
      <c r="F142" s="116"/>
    </row>
    <row r="143" ht="15.75" customHeight="1">
      <c r="A143" s="116"/>
      <c r="B143" s="116"/>
      <c r="C143" s="116"/>
      <c r="D143" s="116"/>
      <c r="E143" s="116"/>
      <c r="F143" s="116"/>
    </row>
    <row r="144" ht="15.75" customHeight="1">
      <c r="A144" s="116"/>
      <c r="B144" s="116"/>
      <c r="C144" s="116"/>
      <c r="D144" s="116"/>
      <c r="E144" s="116"/>
      <c r="F144" s="116"/>
    </row>
    <row r="145" ht="15.75" customHeight="1">
      <c r="A145" s="116"/>
      <c r="B145" s="116"/>
      <c r="C145" s="116"/>
      <c r="D145" s="116"/>
      <c r="E145" s="116"/>
      <c r="F145" s="116"/>
    </row>
    <row r="146" ht="15.75" customHeight="1">
      <c r="A146" s="116"/>
      <c r="B146" s="116"/>
      <c r="C146" s="116"/>
      <c r="D146" s="116"/>
      <c r="E146" s="116"/>
      <c r="F146" s="116"/>
    </row>
    <row r="147" ht="15.75" customHeight="1">
      <c r="A147" s="116"/>
      <c r="B147" s="116"/>
      <c r="C147" s="116"/>
      <c r="D147" s="116"/>
      <c r="E147" s="116"/>
      <c r="F147" s="116"/>
    </row>
    <row r="148" ht="15.75" customHeight="1">
      <c r="A148" s="116"/>
      <c r="B148" s="116"/>
      <c r="C148" s="116"/>
      <c r="D148" s="116"/>
      <c r="E148" s="116"/>
      <c r="F148" s="116"/>
    </row>
    <row r="149" ht="15.75" customHeight="1">
      <c r="A149" s="116"/>
      <c r="B149" s="116"/>
      <c r="C149" s="116"/>
      <c r="D149" s="116"/>
      <c r="E149" s="116"/>
      <c r="F149" s="116"/>
    </row>
    <row r="150" ht="15.75" customHeight="1">
      <c r="A150" s="116"/>
      <c r="B150" s="116"/>
      <c r="C150" s="116"/>
      <c r="D150" s="116"/>
      <c r="E150" s="116"/>
      <c r="F150" s="116"/>
    </row>
    <row r="151" ht="15.75" customHeight="1">
      <c r="A151" s="116"/>
      <c r="B151" s="116"/>
      <c r="C151" s="116"/>
      <c r="D151" s="116"/>
      <c r="E151" s="116"/>
      <c r="F151" s="116"/>
    </row>
    <row r="152" ht="15.75" customHeight="1">
      <c r="A152" s="116"/>
      <c r="B152" s="116"/>
      <c r="C152" s="116"/>
      <c r="D152" s="116"/>
      <c r="E152" s="116"/>
      <c r="F152" s="116"/>
    </row>
    <row r="153" ht="15.75" customHeight="1">
      <c r="A153" s="116"/>
      <c r="B153" s="116"/>
      <c r="C153" s="116"/>
      <c r="D153" s="116"/>
      <c r="E153" s="116"/>
      <c r="F153" s="116"/>
    </row>
    <row r="154" ht="15.75" customHeight="1">
      <c r="A154" s="116"/>
      <c r="B154" s="116"/>
      <c r="C154" s="116"/>
      <c r="D154" s="116"/>
      <c r="E154" s="116"/>
      <c r="F154" s="116"/>
    </row>
    <row r="155" ht="15.75" customHeight="1">
      <c r="A155" s="116"/>
      <c r="B155" s="116"/>
      <c r="C155" s="116"/>
      <c r="D155" s="116"/>
      <c r="E155" s="116"/>
      <c r="F155" s="116"/>
    </row>
    <row r="156" ht="15.75" customHeight="1">
      <c r="A156" s="116"/>
      <c r="B156" s="116"/>
      <c r="C156" s="116"/>
      <c r="D156" s="116"/>
      <c r="E156" s="116"/>
      <c r="F156" s="116"/>
    </row>
    <row r="157" ht="15.75" customHeight="1">
      <c r="A157" s="116"/>
      <c r="B157" s="116"/>
      <c r="C157" s="116"/>
      <c r="D157" s="116"/>
      <c r="E157" s="116"/>
      <c r="F157" s="116"/>
    </row>
    <row r="158" ht="15.75" customHeight="1">
      <c r="A158" s="116"/>
      <c r="B158" s="116"/>
      <c r="C158" s="116"/>
      <c r="D158" s="116"/>
      <c r="E158" s="116"/>
      <c r="F158" s="116"/>
    </row>
    <row r="159" ht="15.75" customHeight="1">
      <c r="A159" s="116"/>
      <c r="B159" s="116"/>
      <c r="C159" s="116"/>
      <c r="D159" s="116"/>
      <c r="E159" s="116"/>
      <c r="F159" s="116"/>
    </row>
    <row r="160" ht="15.75" customHeight="1">
      <c r="A160" s="116"/>
      <c r="B160" s="116"/>
      <c r="C160" s="116"/>
      <c r="D160" s="116"/>
      <c r="E160" s="116"/>
      <c r="F160" s="116"/>
    </row>
    <row r="161" ht="15.75" customHeight="1">
      <c r="A161" s="116"/>
      <c r="B161" s="116"/>
      <c r="C161" s="116"/>
      <c r="D161" s="116"/>
      <c r="E161" s="116"/>
      <c r="F161" s="116"/>
    </row>
    <row r="162" ht="15.75" customHeight="1">
      <c r="A162" s="116"/>
      <c r="B162" s="116"/>
      <c r="C162" s="116"/>
      <c r="D162" s="116"/>
      <c r="E162" s="116"/>
      <c r="F162" s="116"/>
    </row>
    <row r="163" ht="15.75" customHeight="1">
      <c r="A163" s="116"/>
      <c r="B163" s="116"/>
      <c r="C163" s="116"/>
      <c r="D163" s="116"/>
      <c r="E163" s="116"/>
      <c r="F163" s="116"/>
    </row>
    <row r="164" ht="15.75" customHeight="1">
      <c r="A164" s="116"/>
      <c r="B164" s="116"/>
      <c r="C164" s="116"/>
      <c r="D164" s="116"/>
      <c r="E164" s="116"/>
      <c r="F164" s="116"/>
    </row>
    <row r="165" ht="15.75" customHeight="1">
      <c r="A165" s="116"/>
      <c r="B165" s="116"/>
      <c r="C165" s="116"/>
      <c r="D165" s="116"/>
      <c r="E165" s="116"/>
      <c r="F165" s="116"/>
    </row>
    <row r="166" ht="15.75" customHeight="1">
      <c r="A166" s="116"/>
      <c r="B166" s="116"/>
      <c r="C166" s="116"/>
      <c r="D166" s="116"/>
      <c r="E166" s="116"/>
      <c r="F166" s="116"/>
    </row>
    <row r="167" ht="15.75" customHeight="1">
      <c r="A167" s="116"/>
      <c r="B167" s="116"/>
      <c r="C167" s="116"/>
      <c r="D167" s="116"/>
      <c r="E167" s="116"/>
      <c r="F167" s="116"/>
    </row>
    <row r="168" ht="15.75" customHeight="1">
      <c r="A168" s="116"/>
      <c r="B168" s="116"/>
      <c r="C168" s="116"/>
      <c r="D168" s="116"/>
      <c r="E168" s="116"/>
      <c r="F168" s="116"/>
    </row>
    <row r="169" ht="15.75" customHeight="1">
      <c r="A169" s="116"/>
      <c r="B169" s="116"/>
      <c r="C169" s="116"/>
      <c r="D169" s="116"/>
      <c r="E169" s="116"/>
      <c r="F169" s="116"/>
    </row>
    <row r="170" ht="15.75" customHeight="1">
      <c r="A170" s="116"/>
      <c r="B170" s="116"/>
      <c r="C170" s="116"/>
      <c r="D170" s="116"/>
      <c r="E170" s="116"/>
      <c r="F170" s="116"/>
    </row>
    <row r="171" ht="15.75" customHeight="1">
      <c r="A171" s="116"/>
      <c r="B171" s="116"/>
      <c r="C171" s="116"/>
      <c r="D171" s="116"/>
      <c r="E171" s="116"/>
      <c r="F171" s="116"/>
    </row>
    <row r="172" ht="15.75" customHeight="1">
      <c r="A172" s="116"/>
      <c r="B172" s="116"/>
      <c r="C172" s="116"/>
      <c r="D172" s="116"/>
      <c r="E172" s="116"/>
      <c r="F172" s="116"/>
    </row>
    <row r="173" ht="15.75" customHeight="1">
      <c r="A173" s="116"/>
      <c r="B173" s="116"/>
      <c r="C173" s="116"/>
      <c r="D173" s="116"/>
      <c r="E173" s="116"/>
      <c r="F173" s="116"/>
    </row>
    <row r="174" ht="15.75" customHeight="1">
      <c r="A174" s="116"/>
      <c r="B174" s="116"/>
      <c r="C174" s="116"/>
      <c r="D174" s="116"/>
      <c r="E174" s="116"/>
      <c r="F174" s="116"/>
    </row>
    <row r="175" ht="15.75" customHeight="1">
      <c r="A175" s="116"/>
      <c r="B175" s="116"/>
      <c r="C175" s="116"/>
      <c r="D175" s="116"/>
      <c r="E175" s="116"/>
      <c r="F175" s="116"/>
    </row>
    <row r="176" ht="15.75" customHeight="1">
      <c r="A176" s="116"/>
      <c r="B176" s="116"/>
      <c r="C176" s="116"/>
      <c r="D176" s="116"/>
      <c r="E176" s="116"/>
      <c r="F176" s="116"/>
    </row>
    <row r="177" ht="15.75" customHeight="1">
      <c r="A177" s="116"/>
      <c r="B177" s="116"/>
      <c r="C177" s="116"/>
      <c r="D177" s="116"/>
      <c r="E177" s="116"/>
      <c r="F177" s="116"/>
    </row>
    <row r="178" ht="15.75" customHeight="1">
      <c r="A178" s="116"/>
      <c r="B178" s="116"/>
      <c r="C178" s="116"/>
      <c r="D178" s="116"/>
      <c r="E178" s="116"/>
      <c r="F178" s="116"/>
    </row>
    <row r="179" ht="15.75" customHeight="1">
      <c r="A179" s="116"/>
      <c r="B179" s="116"/>
      <c r="C179" s="116"/>
      <c r="D179" s="116"/>
      <c r="E179" s="116"/>
      <c r="F179" s="116"/>
    </row>
    <row r="180" ht="15.75" customHeight="1">
      <c r="A180" s="116"/>
      <c r="B180" s="116"/>
      <c r="C180" s="116"/>
      <c r="D180" s="116"/>
      <c r="E180" s="116"/>
      <c r="F180" s="116"/>
    </row>
    <row r="181" ht="15.75" customHeight="1">
      <c r="A181" s="116"/>
      <c r="B181" s="116"/>
      <c r="C181" s="116"/>
      <c r="D181" s="116"/>
      <c r="E181" s="116"/>
      <c r="F181" s="116"/>
    </row>
    <row r="182" ht="15.75" customHeight="1">
      <c r="A182" s="116"/>
      <c r="B182" s="116"/>
      <c r="C182" s="116"/>
      <c r="D182" s="116"/>
      <c r="E182" s="116"/>
      <c r="F182" s="116"/>
    </row>
    <row r="183" ht="15.75" customHeight="1">
      <c r="A183" s="116"/>
      <c r="B183" s="116"/>
      <c r="C183" s="116"/>
      <c r="D183" s="116"/>
      <c r="E183" s="116"/>
      <c r="F183" s="116"/>
    </row>
    <row r="184" ht="15.75" customHeight="1">
      <c r="A184" s="116"/>
      <c r="B184" s="116"/>
      <c r="C184" s="116"/>
      <c r="D184" s="116"/>
      <c r="E184" s="116"/>
      <c r="F184" s="116"/>
    </row>
    <row r="185" ht="15.75" customHeight="1">
      <c r="A185" s="116"/>
      <c r="B185" s="116"/>
      <c r="C185" s="116"/>
      <c r="D185" s="116"/>
      <c r="E185" s="116"/>
      <c r="F185" s="116"/>
    </row>
    <row r="186" ht="15.75" customHeight="1">
      <c r="A186" s="116"/>
      <c r="B186" s="116"/>
      <c r="C186" s="116"/>
      <c r="D186" s="116"/>
      <c r="E186" s="116"/>
      <c r="F186" s="116"/>
    </row>
    <row r="187" ht="15.75" customHeight="1">
      <c r="A187" s="116"/>
      <c r="B187" s="116"/>
      <c r="C187" s="116"/>
      <c r="D187" s="116"/>
      <c r="E187" s="116"/>
      <c r="F187" s="116"/>
    </row>
    <row r="188" ht="15.75" customHeight="1">
      <c r="A188" s="116"/>
      <c r="B188" s="116"/>
      <c r="C188" s="116"/>
      <c r="D188" s="116"/>
      <c r="E188" s="116"/>
      <c r="F188" s="116"/>
    </row>
    <row r="189" ht="15.75" customHeight="1">
      <c r="A189" s="116"/>
      <c r="B189" s="116"/>
      <c r="C189" s="116"/>
      <c r="D189" s="116"/>
      <c r="E189" s="116"/>
      <c r="F189" s="116"/>
    </row>
    <row r="190" ht="15.75" customHeight="1">
      <c r="A190" s="116"/>
      <c r="B190" s="116"/>
      <c r="C190" s="116"/>
      <c r="D190" s="116"/>
      <c r="E190" s="116"/>
      <c r="F190" s="116"/>
    </row>
    <row r="191" ht="15.75" customHeight="1">
      <c r="A191" s="116"/>
      <c r="B191" s="116"/>
      <c r="C191" s="116"/>
      <c r="D191" s="116"/>
      <c r="E191" s="116"/>
      <c r="F191" s="116"/>
    </row>
    <row r="192" ht="15.75" customHeight="1">
      <c r="A192" s="116"/>
      <c r="B192" s="116"/>
      <c r="C192" s="116"/>
      <c r="D192" s="116"/>
      <c r="E192" s="116"/>
      <c r="F192" s="116"/>
    </row>
    <row r="193" ht="15.75" customHeight="1">
      <c r="A193" s="116"/>
      <c r="B193" s="116"/>
      <c r="C193" s="116"/>
      <c r="D193" s="116"/>
      <c r="E193" s="116"/>
      <c r="F193" s="116"/>
    </row>
    <row r="194" ht="15.75" customHeight="1">
      <c r="A194" s="116"/>
      <c r="B194" s="116"/>
      <c r="C194" s="116"/>
      <c r="D194" s="116"/>
      <c r="E194" s="116"/>
      <c r="F194" s="116"/>
    </row>
    <row r="195" ht="15.75" customHeight="1">
      <c r="A195" s="116"/>
      <c r="B195" s="116"/>
      <c r="C195" s="116"/>
      <c r="D195" s="116"/>
      <c r="E195" s="116"/>
      <c r="F195" s="116"/>
    </row>
    <row r="196" ht="15.75" customHeight="1">
      <c r="A196" s="116"/>
      <c r="B196" s="116"/>
      <c r="C196" s="116"/>
      <c r="D196" s="116"/>
      <c r="E196" s="116"/>
      <c r="F196" s="116"/>
    </row>
    <row r="197" ht="15.75" customHeight="1">
      <c r="A197" s="116"/>
      <c r="B197" s="116"/>
      <c r="C197" s="116"/>
      <c r="D197" s="116"/>
      <c r="E197" s="116"/>
      <c r="F197" s="116"/>
    </row>
    <row r="198" ht="15.75" customHeight="1">
      <c r="A198" s="116"/>
      <c r="B198" s="116"/>
      <c r="C198" s="116"/>
      <c r="D198" s="116"/>
      <c r="E198" s="116"/>
      <c r="F198" s="116"/>
    </row>
    <row r="199" ht="15.75" customHeight="1">
      <c r="A199" s="116"/>
      <c r="B199" s="116"/>
      <c r="C199" s="116"/>
      <c r="D199" s="116"/>
      <c r="E199" s="116"/>
      <c r="F199" s="116"/>
    </row>
    <row r="200" ht="15.75" customHeight="1">
      <c r="A200" s="116"/>
      <c r="B200" s="116"/>
      <c r="C200" s="116"/>
      <c r="D200" s="116"/>
      <c r="E200" s="116"/>
      <c r="F200" s="116"/>
    </row>
    <row r="201" ht="15.75" customHeight="1">
      <c r="A201" s="116"/>
      <c r="B201" s="116"/>
      <c r="C201" s="116"/>
      <c r="D201" s="116"/>
      <c r="E201" s="116"/>
      <c r="F201" s="116"/>
    </row>
    <row r="202" ht="15.75" customHeight="1">
      <c r="A202" s="116"/>
      <c r="B202" s="116"/>
      <c r="C202" s="116"/>
      <c r="D202" s="116"/>
      <c r="E202" s="116"/>
      <c r="F202" s="116"/>
    </row>
    <row r="203" ht="15.75" customHeight="1">
      <c r="A203" s="116"/>
      <c r="B203" s="116"/>
      <c r="C203" s="116"/>
      <c r="D203" s="116"/>
      <c r="E203" s="116"/>
      <c r="F203" s="116"/>
    </row>
    <row r="204" ht="15.75" customHeight="1">
      <c r="A204" s="116"/>
      <c r="B204" s="116"/>
      <c r="C204" s="116"/>
      <c r="D204" s="116"/>
      <c r="E204" s="116"/>
      <c r="F204" s="116"/>
    </row>
    <row r="205" ht="15.75" customHeight="1">
      <c r="A205" s="116"/>
      <c r="B205" s="116"/>
      <c r="C205" s="116"/>
      <c r="D205" s="116"/>
      <c r="E205" s="116"/>
      <c r="F205" s="116"/>
    </row>
    <row r="206" ht="15.75" customHeight="1">
      <c r="A206" s="116"/>
      <c r="B206" s="116"/>
      <c r="C206" s="116"/>
      <c r="D206" s="116"/>
      <c r="E206" s="116"/>
      <c r="F206" s="116"/>
    </row>
    <row r="207" ht="15.75" customHeight="1">
      <c r="A207" s="116"/>
      <c r="B207" s="116"/>
      <c r="C207" s="116"/>
      <c r="D207" s="116"/>
      <c r="E207" s="116"/>
      <c r="F207" s="116"/>
    </row>
    <row r="208" ht="15.75" customHeight="1">
      <c r="A208" s="116"/>
      <c r="B208" s="116"/>
      <c r="C208" s="116"/>
      <c r="D208" s="116"/>
      <c r="E208" s="116"/>
      <c r="F208" s="116"/>
    </row>
    <row r="209" ht="15.75" customHeight="1">
      <c r="A209" s="116"/>
      <c r="B209" s="116"/>
      <c r="C209" s="116"/>
      <c r="D209" s="116"/>
      <c r="E209" s="116"/>
      <c r="F209" s="116"/>
    </row>
    <row r="210" ht="15.75" customHeight="1">
      <c r="A210" s="116"/>
      <c r="B210" s="116"/>
      <c r="C210" s="116"/>
      <c r="D210" s="116"/>
      <c r="E210" s="116"/>
      <c r="F210" s="116"/>
    </row>
    <row r="211" ht="15.75" customHeight="1">
      <c r="A211" s="116"/>
      <c r="B211" s="116"/>
      <c r="C211" s="116"/>
      <c r="D211" s="116"/>
      <c r="E211" s="116"/>
      <c r="F211" s="116"/>
    </row>
    <row r="212" ht="15.75" customHeight="1">
      <c r="A212" s="116"/>
      <c r="B212" s="116"/>
      <c r="C212" s="116"/>
      <c r="D212" s="116"/>
      <c r="E212" s="116"/>
      <c r="F212" s="116"/>
    </row>
    <row r="213" ht="15.75" customHeight="1">
      <c r="A213" s="116"/>
      <c r="B213" s="116"/>
      <c r="C213" s="116"/>
      <c r="D213" s="116"/>
      <c r="E213" s="116"/>
      <c r="F213" s="116"/>
    </row>
    <row r="214" ht="15.75" customHeight="1">
      <c r="A214" s="116"/>
      <c r="B214" s="116"/>
      <c r="C214" s="116"/>
      <c r="D214" s="116"/>
      <c r="E214" s="116"/>
      <c r="F214" s="116"/>
    </row>
    <row r="215" ht="15.75" customHeight="1">
      <c r="A215" s="116"/>
      <c r="B215" s="116"/>
      <c r="C215" s="116"/>
      <c r="D215" s="116"/>
      <c r="E215" s="116"/>
      <c r="F215" s="116"/>
    </row>
    <row r="216" ht="15.75" customHeight="1">
      <c r="A216" s="116"/>
      <c r="B216" s="116"/>
      <c r="C216" s="116"/>
      <c r="D216" s="116"/>
      <c r="E216" s="116"/>
      <c r="F216" s="116"/>
    </row>
    <row r="217" ht="15.75" customHeight="1">
      <c r="A217" s="116"/>
      <c r="B217" s="116"/>
      <c r="C217" s="116"/>
      <c r="D217" s="116"/>
      <c r="E217" s="116"/>
      <c r="F217" s="116"/>
    </row>
    <row r="218" ht="15.75" customHeight="1">
      <c r="A218" s="116"/>
      <c r="B218" s="116"/>
      <c r="C218" s="116"/>
      <c r="D218" s="116"/>
      <c r="E218" s="116"/>
      <c r="F218" s="116"/>
    </row>
    <row r="219" ht="15.75" customHeight="1">
      <c r="A219" s="116"/>
      <c r="B219" s="116"/>
      <c r="C219" s="116"/>
      <c r="D219" s="116"/>
      <c r="E219" s="116"/>
      <c r="F219" s="116"/>
    </row>
    <row r="220" ht="15.75" customHeight="1">
      <c r="A220" s="116"/>
      <c r="B220" s="116"/>
      <c r="C220" s="116"/>
      <c r="D220" s="116"/>
      <c r="E220" s="116"/>
      <c r="F220" s="1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6C30395-4AF1-439B-903E-48604C25C9CF}" filter="1" showAutoFilter="1">
      <autoFilter ref="$A$1:$F$3"/>
    </customSheetView>
  </customSheetView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2.86"/>
    <col customWidth="1" min="3" max="3" width="42.29"/>
    <col customWidth="1" min="4" max="4" width="14.71"/>
    <col customWidth="1" min="5" max="5" width="28.71"/>
    <col customWidth="1" min="6" max="6" width="12.0"/>
    <col customWidth="1" min="7" max="7" width="20.71"/>
    <col customWidth="1" min="8" max="8" width="11.71"/>
  </cols>
  <sheetData>
    <row r="1" ht="30.0" customHeight="1">
      <c r="A1" s="119" t="s">
        <v>81</v>
      </c>
      <c r="B1" s="30"/>
      <c r="C1" s="30"/>
      <c r="D1" s="30"/>
      <c r="E1" s="30"/>
      <c r="F1" s="30"/>
      <c r="G1" s="30"/>
      <c r="H1" s="30"/>
    </row>
    <row r="2" ht="27.0" customHeight="1">
      <c r="A2" s="111" t="s">
        <v>82</v>
      </c>
      <c r="B2" s="30"/>
      <c r="C2" s="30"/>
      <c r="D2" s="30"/>
      <c r="E2" s="30"/>
      <c r="F2" s="30"/>
      <c r="G2" s="30"/>
      <c r="H2" s="30"/>
    </row>
    <row r="4" ht="34.5" customHeight="1">
      <c r="A4" s="120" t="s">
        <v>60</v>
      </c>
      <c r="B4" s="120" t="s">
        <v>83</v>
      </c>
      <c r="C4" s="120" t="s">
        <v>84</v>
      </c>
      <c r="D4" s="120" t="s">
        <v>85</v>
      </c>
      <c r="E4" s="120" t="s">
        <v>86</v>
      </c>
      <c r="F4" s="120" t="s">
        <v>87</v>
      </c>
      <c r="G4" s="120" t="s">
        <v>72</v>
      </c>
      <c r="H4" s="120" t="s">
        <v>88</v>
      </c>
    </row>
    <row r="5">
      <c r="A5" s="121">
        <v>1.0</v>
      </c>
      <c r="B5" s="37" t="s">
        <v>89</v>
      </c>
      <c r="C5" s="37" t="s">
        <v>90</v>
      </c>
      <c r="D5" s="36" t="s">
        <v>30</v>
      </c>
      <c r="E5" s="37" t="s">
        <v>68</v>
      </c>
      <c r="F5" s="122">
        <v>8.5</v>
      </c>
      <c r="G5" s="123" t="s">
        <v>91</v>
      </c>
      <c r="H5" s="36" t="s">
        <v>92</v>
      </c>
    </row>
    <row r="6">
      <c r="A6" s="121">
        <v>2.0</v>
      </c>
      <c r="B6" s="37" t="s">
        <v>93</v>
      </c>
      <c r="C6" s="37" t="s">
        <v>94</v>
      </c>
      <c r="D6" s="36" t="s">
        <v>30</v>
      </c>
      <c r="E6" s="37" t="s">
        <v>51</v>
      </c>
      <c r="F6" s="122">
        <v>15.0</v>
      </c>
      <c r="G6" s="123" t="s">
        <v>95</v>
      </c>
      <c r="H6" s="36" t="s">
        <v>92</v>
      </c>
    </row>
    <row r="7">
      <c r="A7" s="121">
        <v>3.0</v>
      </c>
      <c r="B7" s="37" t="s">
        <v>96</v>
      </c>
      <c r="C7" s="37" t="s">
        <v>52</v>
      </c>
      <c r="D7" s="36" t="s">
        <v>31</v>
      </c>
      <c r="E7" s="37" t="s">
        <v>69</v>
      </c>
      <c r="F7" s="122">
        <v>2.3</v>
      </c>
      <c r="G7" s="123" t="s">
        <v>97</v>
      </c>
      <c r="H7" s="36" t="s">
        <v>98</v>
      </c>
    </row>
    <row r="8">
      <c r="A8" s="121">
        <v>4.0</v>
      </c>
      <c r="B8" s="37" t="s">
        <v>99</v>
      </c>
      <c r="C8" s="37" t="s">
        <v>100</v>
      </c>
      <c r="D8" s="36" t="s">
        <v>31</v>
      </c>
      <c r="E8" s="37" t="s">
        <v>69</v>
      </c>
      <c r="F8" s="122">
        <v>3.8</v>
      </c>
      <c r="G8" s="123" t="s">
        <v>97</v>
      </c>
      <c r="H8" s="36" t="s">
        <v>98</v>
      </c>
    </row>
    <row r="9">
      <c r="A9" s="121">
        <v>5.0</v>
      </c>
      <c r="B9" s="37" t="s">
        <v>101</v>
      </c>
      <c r="C9" s="37" t="s">
        <v>102</v>
      </c>
      <c r="D9" s="36" t="s">
        <v>31</v>
      </c>
      <c r="E9" s="37" t="s">
        <v>70</v>
      </c>
      <c r="F9" s="122">
        <v>5.2</v>
      </c>
      <c r="G9" s="123" t="s">
        <v>103</v>
      </c>
      <c r="H9" s="36" t="s">
        <v>104</v>
      </c>
    </row>
    <row r="10">
      <c r="A10" s="121">
        <v>6.0</v>
      </c>
      <c r="B10" s="37" t="s">
        <v>105</v>
      </c>
      <c r="C10" s="37" t="s">
        <v>106</v>
      </c>
      <c r="D10" s="36" t="s">
        <v>31</v>
      </c>
      <c r="E10" s="37" t="s">
        <v>70</v>
      </c>
      <c r="F10" s="122">
        <v>5.2</v>
      </c>
      <c r="G10" s="123" t="s">
        <v>103</v>
      </c>
      <c r="H10" s="36" t="s">
        <v>104</v>
      </c>
    </row>
    <row r="11">
      <c r="A11" s="121">
        <v>7.0</v>
      </c>
      <c r="B11" s="37" t="s">
        <v>107</v>
      </c>
      <c r="C11" s="37" t="s">
        <v>108</v>
      </c>
      <c r="D11" s="36" t="s">
        <v>109</v>
      </c>
      <c r="E11" s="37" t="s">
        <v>71</v>
      </c>
      <c r="F11" s="122">
        <v>120.0</v>
      </c>
      <c r="G11" s="123" t="s">
        <v>110</v>
      </c>
      <c r="H11" s="36" t="s">
        <v>111</v>
      </c>
    </row>
    <row r="12">
      <c r="A12" s="121">
        <v>8.0</v>
      </c>
      <c r="B12" s="37" t="s">
        <v>112</v>
      </c>
      <c r="C12" s="37" t="s">
        <v>113</v>
      </c>
      <c r="D12" s="36" t="s">
        <v>109</v>
      </c>
      <c r="E12" s="37" t="s">
        <v>71</v>
      </c>
      <c r="F12" s="122">
        <v>95.0</v>
      </c>
      <c r="G12" s="123" t="s">
        <v>110</v>
      </c>
      <c r="H12" s="36" t="s">
        <v>111</v>
      </c>
    </row>
    <row r="13">
      <c r="A13" s="121">
        <v>9.0</v>
      </c>
      <c r="B13" s="37" t="s">
        <v>114</v>
      </c>
      <c r="C13" s="37" t="s">
        <v>115</v>
      </c>
      <c r="D13" s="36" t="s">
        <v>116</v>
      </c>
      <c r="E13" s="37" t="s">
        <v>68</v>
      </c>
      <c r="F13" s="122">
        <v>0.85</v>
      </c>
      <c r="G13" s="123" t="s">
        <v>95</v>
      </c>
      <c r="H13" s="36" t="s">
        <v>117</v>
      </c>
    </row>
    <row r="14">
      <c r="A14" s="121">
        <v>10.0</v>
      </c>
      <c r="B14" s="37" t="s">
        <v>118</v>
      </c>
      <c r="C14" s="37" t="s">
        <v>119</v>
      </c>
      <c r="D14" s="36" t="s">
        <v>116</v>
      </c>
      <c r="E14" s="37" t="s">
        <v>68</v>
      </c>
      <c r="F14" s="122">
        <v>1.2</v>
      </c>
      <c r="G14" s="123" t="s">
        <v>95</v>
      </c>
      <c r="H14" s="36" t="s">
        <v>117</v>
      </c>
    </row>
    <row r="15">
      <c r="A15" s="121">
        <v>11.0</v>
      </c>
      <c r="B15" s="37"/>
      <c r="C15" s="37"/>
      <c r="D15" s="36"/>
      <c r="E15" s="37"/>
      <c r="F15" s="122"/>
      <c r="G15" s="36"/>
      <c r="H15" s="36"/>
    </row>
    <row r="16">
      <c r="A16" s="121">
        <v>12.0</v>
      </c>
      <c r="B16" s="37"/>
      <c r="C16" s="37"/>
      <c r="D16" s="36"/>
      <c r="E16" s="37"/>
      <c r="F16" s="122"/>
      <c r="G16" s="36"/>
      <c r="H16" s="36"/>
    </row>
    <row r="17">
      <c r="A17" s="121">
        <v>13.0</v>
      </c>
      <c r="B17" s="37"/>
      <c r="C17" s="37"/>
      <c r="D17" s="36"/>
      <c r="E17" s="37"/>
      <c r="F17" s="36"/>
      <c r="G17" s="36"/>
      <c r="H17" s="36"/>
    </row>
    <row r="18">
      <c r="A18" s="121">
        <v>14.0</v>
      </c>
      <c r="B18" s="37"/>
      <c r="C18" s="37"/>
      <c r="D18" s="36"/>
      <c r="E18" s="37"/>
      <c r="F18" s="36"/>
      <c r="G18" s="36"/>
      <c r="H18" s="36"/>
    </row>
    <row r="19">
      <c r="A19" s="121">
        <v>15.0</v>
      </c>
      <c r="B19" s="37"/>
      <c r="C19" s="37"/>
      <c r="D19" s="36"/>
      <c r="E19" s="37"/>
      <c r="F19" s="36"/>
      <c r="G19" s="36"/>
      <c r="H19" s="36"/>
    </row>
    <row r="20">
      <c r="A20" s="121">
        <v>16.0</v>
      </c>
      <c r="B20" s="37"/>
      <c r="C20" s="37"/>
      <c r="D20" s="36"/>
      <c r="E20" s="37"/>
      <c r="F20" s="36"/>
      <c r="G20" s="36"/>
      <c r="H20" s="36"/>
    </row>
    <row r="21" ht="15.75" customHeight="1">
      <c r="A21" s="121">
        <v>17.0</v>
      </c>
      <c r="B21" s="37"/>
      <c r="C21" s="37"/>
      <c r="D21" s="36"/>
      <c r="E21" s="37"/>
      <c r="F21" s="36"/>
      <c r="G21" s="36"/>
      <c r="H21" s="36"/>
    </row>
    <row r="22" ht="15.75" customHeight="1">
      <c r="A22" s="121">
        <v>18.0</v>
      </c>
      <c r="B22" s="37"/>
      <c r="C22" s="37"/>
      <c r="D22" s="36"/>
      <c r="E22" s="37"/>
      <c r="F22" s="36"/>
      <c r="G22" s="36"/>
      <c r="H22" s="36"/>
    </row>
    <row r="23" ht="15.75" customHeight="1">
      <c r="A23" s="121">
        <v>19.0</v>
      </c>
      <c r="B23" s="37"/>
      <c r="C23" s="37"/>
      <c r="D23" s="36"/>
      <c r="E23" s="37"/>
      <c r="F23" s="36"/>
      <c r="G23" s="36"/>
      <c r="H23" s="36"/>
    </row>
    <row r="24" ht="15.75" customHeight="1">
      <c r="A24" s="121">
        <v>20.0</v>
      </c>
      <c r="B24" s="37"/>
      <c r="C24" s="37"/>
      <c r="D24" s="36"/>
      <c r="E24" s="37"/>
      <c r="F24" s="36"/>
      <c r="G24" s="36"/>
      <c r="H24" s="3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portrait"/>
  <drawing r:id="rId1"/>
</worksheet>
</file>